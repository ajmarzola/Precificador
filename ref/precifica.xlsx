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jmar\source\repos\ajmarzola\Precificador\ref\"/>
    </mc:Choice>
  </mc:AlternateContent>
  <xr:revisionPtr revIDLastSave="0" documentId="13_ncr:1_{7B92A9B5-86CD-4613-ACB8-FB1EBDA30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erencias" sheetId="1" r:id="rId1"/>
    <sheet name="Mulher25" sheetId="2" r:id="rId2"/>
    <sheet name="VoltaAulas25" sheetId="3" r:id="rId3"/>
    <sheet name="Coleção25" sheetId="4" r:id="rId4"/>
    <sheet name="Dininha" sheetId="6" r:id="rId5"/>
    <sheet name="Kraft" sheetId="7" r:id="rId6"/>
    <sheet name="Couro" sheetId="8" r:id="rId7"/>
    <sheet name="Crochê" sheetId="9" r:id="rId8"/>
    <sheet name="Bebê" sheetId="10" r:id="rId9"/>
    <sheet name="Casamento" sheetId="11" r:id="rId10"/>
    <sheet name="Trevo Saúde" sheetId="12" r:id="rId11"/>
    <sheet name="Fofurinhas" sheetId="14" r:id="rId12"/>
    <sheet name="Costura Criativa" sheetId="16" r:id="rId13"/>
    <sheet name="Sacolas em Papel" sheetId="17" r:id="rId14"/>
    <sheet name="Sacolas 60" sheetId="18" r:id="rId15"/>
    <sheet name="Sacolas 40" sheetId="19" r:id="rId16"/>
    <sheet name="Arraiá24" sheetId="24" r:id="rId17"/>
    <sheet name="Mães24" sheetId="25" r:id="rId18"/>
    <sheet name="Pascoa24" sheetId="26" r:id="rId19"/>
    <sheet name="Mulher24" sheetId="27" r:id="rId20"/>
    <sheet name="VoltaAulas24" sheetId="28" r:id="rId21"/>
    <sheet name="Coleção24" sheetId="29" r:id="rId22"/>
    <sheet name="Pais23" sheetId="30" r:id="rId23"/>
    <sheet name="Namorados23" sheetId="31" r:id="rId24"/>
    <sheet name="Mães23" sheetId="32" r:id="rId25"/>
    <sheet name="Pascoa23" sheetId="33" r:id="rId26"/>
    <sheet name="Mulher23" sheetId="34" r:id="rId27"/>
    <sheet name="VoltaAulas23" sheetId="35" r:id="rId28"/>
    <sheet name="Coleção23" sheetId="36" r:id="rId29"/>
    <sheet name="Natal22" sheetId="37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37" l="1"/>
  <c r="A78" i="37"/>
  <c r="A77" i="37"/>
  <c r="A76" i="37"/>
  <c r="A75" i="37"/>
  <c r="A68" i="37"/>
  <c r="A67" i="37"/>
  <c r="A66" i="37"/>
  <c r="A65" i="37"/>
  <c r="A58" i="37"/>
  <c r="A57" i="37"/>
  <c r="A56" i="37"/>
  <c r="A55" i="37"/>
  <c r="A54" i="37"/>
  <c r="A53" i="37"/>
  <c r="A52" i="37"/>
  <c r="A51" i="37"/>
  <c r="A44" i="37"/>
  <c r="A43" i="37"/>
  <c r="A42" i="37"/>
  <c r="A41" i="37"/>
  <c r="A40" i="37"/>
  <c r="A39" i="37"/>
  <c r="B38" i="37"/>
  <c r="A38" i="37"/>
  <c r="A37" i="37"/>
  <c r="A36" i="37"/>
  <c r="A29" i="37"/>
  <c r="A28" i="37"/>
  <c r="A27" i="37"/>
  <c r="A26" i="37"/>
  <c r="A25" i="37"/>
  <c r="A24" i="37"/>
  <c r="A23" i="37"/>
  <c r="A22" i="37"/>
  <c r="B21" i="37"/>
  <c r="A21" i="37"/>
  <c r="A20" i="37"/>
  <c r="A19" i="37"/>
  <c r="A12" i="37"/>
  <c r="A11" i="37"/>
  <c r="A10" i="37"/>
  <c r="A9" i="37"/>
  <c r="A8" i="37"/>
  <c r="A7" i="37"/>
  <c r="A6" i="37"/>
  <c r="A5" i="37"/>
  <c r="B4" i="37"/>
  <c r="A4" i="37"/>
  <c r="A3" i="37"/>
  <c r="A2" i="37"/>
  <c r="A167" i="36"/>
  <c r="A166" i="36"/>
  <c r="A165" i="36"/>
  <c r="A164" i="36"/>
  <c r="A163" i="36"/>
  <c r="A162" i="36"/>
  <c r="A161" i="36"/>
  <c r="A154" i="36"/>
  <c r="A153" i="36"/>
  <c r="A152" i="36"/>
  <c r="A151" i="36"/>
  <c r="A150" i="36"/>
  <c r="A149" i="36"/>
  <c r="A148" i="36"/>
  <c r="A147" i="36"/>
  <c r="A140" i="36"/>
  <c r="A139" i="36"/>
  <c r="A138" i="36"/>
  <c r="A137" i="36"/>
  <c r="A136" i="36"/>
  <c r="A135" i="36"/>
  <c r="A134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B110" i="36"/>
  <c r="A110" i="36"/>
  <c r="A109" i="36"/>
  <c r="A108" i="36"/>
  <c r="A101" i="36"/>
  <c r="A100" i="36"/>
  <c r="A99" i="36"/>
  <c r="A98" i="36"/>
  <c r="A97" i="36"/>
  <c r="A96" i="36"/>
  <c r="A95" i="36"/>
  <c r="B94" i="36"/>
  <c r="A94" i="36"/>
  <c r="A93" i="36"/>
  <c r="A92" i="36"/>
  <c r="A85" i="36"/>
  <c r="A84" i="36"/>
  <c r="A83" i="36"/>
  <c r="A82" i="36"/>
  <c r="A81" i="36"/>
  <c r="A80" i="36"/>
  <c r="A79" i="36"/>
  <c r="B78" i="36"/>
  <c r="A78" i="36"/>
  <c r="A77" i="36"/>
  <c r="A76" i="36"/>
  <c r="A69" i="36"/>
  <c r="A68" i="36"/>
  <c r="A67" i="36"/>
  <c r="A66" i="36"/>
  <c r="A65" i="36"/>
  <c r="A64" i="36"/>
  <c r="A63" i="36"/>
  <c r="A62" i="36"/>
  <c r="B61" i="36"/>
  <c r="A61" i="36"/>
  <c r="A60" i="36"/>
  <c r="A59" i="36"/>
  <c r="A52" i="36"/>
  <c r="A51" i="36"/>
  <c r="A50" i="36"/>
  <c r="A49" i="36"/>
  <c r="A48" i="36"/>
  <c r="A47" i="36"/>
  <c r="A46" i="36"/>
  <c r="A45" i="36"/>
  <c r="A44" i="36"/>
  <c r="A43" i="36"/>
  <c r="B42" i="36"/>
  <c r="A42" i="36"/>
  <c r="A41" i="36"/>
  <c r="A40" i="36"/>
  <c r="A33" i="36"/>
  <c r="A32" i="36"/>
  <c r="A31" i="36"/>
  <c r="A30" i="36"/>
  <c r="A29" i="36"/>
  <c r="A28" i="36"/>
  <c r="A27" i="36"/>
  <c r="A26" i="36"/>
  <c r="A25" i="36"/>
  <c r="A24" i="36"/>
  <c r="B23" i="36"/>
  <c r="A23" i="36"/>
  <c r="A22" i="36"/>
  <c r="A21" i="36"/>
  <c r="A14" i="36"/>
  <c r="A13" i="36"/>
  <c r="A12" i="36"/>
  <c r="A11" i="36"/>
  <c r="A10" i="36"/>
  <c r="A9" i="36"/>
  <c r="A8" i="36"/>
  <c r="A7" i="36"/>
  <c r="A6" i="36"/>
  <c r="A5" i="36"/>
  <c r="B4" i="36"/>
  <c r="A4" i="36"/>
  <c r="A3" i="36"/>
  <c r="A2" i="36"/>
  <c r="A120" i="35"/>
  <c r="A119" i="35"/>
  <c r="A118" i="35"/>
  <c r="A117" i="35"/>
  <c r="A116" i="35"/>
  <c r="A115" i="35"/>
  <c r="B114" i="35"/>
  <c r="A114" i="35"/>
  <c r="A113" i="35"/>
  <c r="A112" i="35"/>
  <c r="A105" i="35"/>
  <c r="A104" i="35"/>
  <c r="A103" i="35"/>
  <c r="A102" i="35"/>
  <c r="A101" i="35"/>
  <c r="A100" i="35"/>
  <c r="A99" i="35"/>
  <c r="A98" i="35"/>
  <c r="B97" i="35"/>
  <c r="A97" i="35"/>
  <c r="A96" i="35"/>
  <c r="A95" i="35"/>
  <c r="A88" i="35"/>
  <c r="A87" i="35"/>
  <c r="A86" i="35"/>
  <c r="A85" i="35"/>
  <c r="A84" i="35"/>
  <c r="A83" i="35"/>
  <c r="A82" i="35"/>
  <c r="A81" i="35"/>
  <c r="B80" i="35"/>
  <c r="A80" i="35"/>
  <c r="A79" i="35"/>
  <c r="A78" i="35"/>
  <c r="A71" i="35"/>
  <c r="A70" i="35"/>
  <c r="A69" i="35"/>
  <c r="A68" i="35"/>
  <c r="A67" i="35"/>
  <c r="A66" i="35"/>
  <c r="A65" i="35"/>
  <c r="A64" i="35"/>
  <c r="A63" i="35"/>
  <c r="A62" i="35"/>
  <c r="B61" i="35"/>
  <c r="A61" i="35"/>
  <c r="A60" i="35"/>
  <c r="A59" i="35"/>
  <c r="A52" i="35"/>
  <c r="A51" i="35"/>
  <c r="A50" i="35"/>
  <c r="A49" i="35"/>
  <c r="A48" i="35"/>
  <c r="A47" i="35"/>
  <c r="A46" i="35"/>
  <c r="A45" i="35"/>
  <c r="A44" i="35"/>
  <c r="A43" i="35"/>
  <c r="B42" i="35"/>
  <c r="A42" i="35"/>
  <c r="A41" i="35"/>
  <c r="A40" i="35"/>
  <c r="A33" i="35"/>
  <c r="A32" i="35"/>
  <c r="A31" i="35"/>
  <c r="A30" i="35"/>
  <c r="A29" i="35"/>
  <c r="A28" i="35"/>
  <c r="A27" i="35"/>
  <c r="A26" i="35"/>
  <c r="A25" i="35"/>
  <c r="A24" i="35"/>
  <c r="B23" i="35"/>
  <c r="A23" i="35"/>
  <c r="A22" i="35"/>
  <c r="A21" i="35"/>
  <c r="A14" i="35"/>
  <c r="A13" i="35"/>
  <c r="A12" i="35"/>
  <c r="A11" i="35"/>
  <c r="A10" i="35"/>
  <c r="A9" i="35"/>
  <c r="A8" i="35"/>
  <c r="A7" i="35"/>
  <c r="A6" i="35"/>
  <c r="A5" i="35"/>
  <c r="B4" i="35"/>
  <c r="A4" i="35"/>
  <c r="A3" i="35"/>
  <c r="A2" i="35"/>
  <c r="A149" i="34"/>
  <c r="A148" i="34"/>
  <c r="A147" i="34"/>
  <c r="A146" i="34"/>
  <c r="A145" i="34"/>
  <c r="A144" i="34"/>
  <c r="A137" i="34"/>
  <c r="A136" i="34"/>
  <c r="A135" i="34"/>
  <c r="A134" i="34"/>
  <c r="A133" i="34"/>
  <c r="A132" i="34"/>
  <c r="A125" i="34"/>
  <c r="A124" i="34"/>
  <c r="A123" i="34"/>
  <c r="A122" i="34"/>
  <c r="A121" i="34"/>
  <c r="A120" i="34"/>
  <c r="A113" i="34"/>
  <c r="A112" i="34"/>
  <c r="A111" i="34"/>
  <c r="A110" i="34"/>
  <c r="A109" i="34"/>
  <c r="A108" i="34"/>
  <c r="A101" i="34"/>
  <c r="A100" i="34"/>
  <c r="A99" i="34"/>
  <c r="A98" i="34"/>
  <c r="A96" i="34"/>
  <c r="A89" i="34"/>
  <c r="A88" i="34"/>
  <c r="A87" i="34"/>
  <c r="A86" i="34"/>
  <c r="A85" i="34"/>
  <c r="A84" i="34"/>
  <c r="A77" i="34"/>
  <c r="A76" i="34"/>
  <c r="A75" i="34"/>
  <c r="A74" i="34"/>
  <c r="A73" i="34"/>
  <c r="A72" i="34"/>
  <c r="A65" i="34"/>
  <c r="A64" i="34"/>
  <c r="A63" i="34"/>
  <c r="A62" i="34"/>
  <c r="A55" i="34"/>
  <c r="A54" i="34"/>
  <c r="A53" i="34"/>
  <c r="A52" i="34"/>
  <c r="A45" i="34"/>
  <c r="A44" i="34"/>
  <c r="A43" i="34"/>
  <c r="A42" i="34"/>
  <c r="A35" i="34"/>
  <c r="A34" i="34"/>
  <c r="A33" i="34"/>
  <c r="A32" i="34"/>
  <c r="A25" i="34"/>
  <c r="A24" i="34"/>
  <c r="A23" i="34"/>
  <c r="A22" i="34"/>
  <c r="A15" i="34"/>
  <c r="A14" i="34"/>
  <c r="A13" i="34"/>
  <c r="A12" i="34"/>
  <c r="A5" i="34"/>
  <c r="A4" i="34"/>
  <c r="A3" i="34"/>
  <c r="A2" i="34"/>
  <c r="A160" i="33"/>
  <c r="A159" i="33"/>
  <c r="A158" i="33"/>
  <c r="A157" i="33"/>
  <c r="A156" i="33"/>
  <c r="A155" i="33"/>
  <c r="A154" i="33"/>
  <c r="A153" i="33"/>
  <c r="B152" i="33"/>
  <c r="A152" i="33"/>
  <c r="A151" i="33"/>
  <c r="A150" i="33"/>
  <c r="A143" i="33"/>
  <c r="A142" i="33"/>
  <c r="A141" i="33"/>
  <c r="A140" i="33"/>
  <c r="A139" i="33"/>
  <c r="A138" i="33"/>
  <c r="A131" i="33"/>
  <c r="A130" i="33"/>
  <c r="A129" i="33"/>
  <c r="A128" i="33"/>
  <c r="A127" i="33"/>
  <c r="A126" i="33"/>
  <c r="A119" i="33"/>
  <c r="A118" i="33"/>
  <c r="A117" i="33"/>
  <c r="A116" i="33"/>
  <c r="A115" i="33"/>
  <c r="A114" i="33"/>
  <c r="A107" i="33"/>
  <c r="A106" i="33"/>
  <c r="A105" i="33"/>
  <c r="A104" i="33"/>
  <c r="A103" i="33"/>
  <c r="A102" i="33"/>
  <c r="A95" i="33"/>
  <c r="A94" i="33"/>
  <c r="A93" i="33"/>
  <c r="A92" i="33"/>
  <c r="A91" i="33"/>
  <c r="A90" i="33"/>
  <c r="A83" i="33"/>
  <c r="A82" i="33"/>
  <c r="A81" i="33"/>
  <c r="A80" i="33"/>
  <c r="A79" i="33"/>
  <c r="A71" i="33"/>
  <c r="A70" i="33"/>
  <c r="A69" i="33"/>
  <c r="A68" i="33"/>
  <c r="A67" i="33"/>
  <c r="A66" i="33"/>
  <c r="A65" i="33"/>
  <c r="A64" i="33"/>
  <c r="A63" i="33"/>
  <c r="A62" i="33"/>
  <c r="B61" i="33"/>
  <c r="A61" i="33"/>
  <c r="A60" i="33"/>
  <c r="A59" i="33"/>
  <c r="A52" i="33"/>
  <c r="A51" i="33"/>
  <c r="A50" i="33"/>
  <c r="A49" i="33"/>
  <c r="A48" i="33"/>
  <c r="A47" i="33"/>
  <c r="A46" i="33"/>
  <c r="A45" i="33"/>
  <c r="A44" i="33"/>
  <c r="A43" i="33"/>
  <c r="B42" i="33"/>
  <c r="A42" i="33"/>
  <c r="A41" i="33"/>
  <c r="A40" i="33"/>
  <c r="A33" i="33"/>
  <c r="A32" i="33"/>
  <c r="A31" i="33"/>
  <c r="A30" i="33"/>
  <c r="A29" i="33"/>
  <c r="A28" i="33"/>
  <c r="A27" i="33"/>
  <c r="A26" i="33"/>
  <c r="A25" i="33"/>
  <c r="A24" i="33"/>
  <c r="B23" i="33"/>
  <c r="A23" i="33"/>
  <c r="A22" i="33"/>
  <c r="A21" i="33"/>
  <c r="A14" i="33"/>
  <c r="A13" i="33"/>
  <c r="A12" i="33"/>
  <c r="A11" i="33"/>
  <c r="A10" i="33"/>
  <c r="A9" i="33"/>
  <c r="A8" i="33"/>
  <c r="A7" i="33"/>
  <c r="A6" i="33"/>
  <c r="A5" i="33"/>
  <c r="B4" i="33"/>
  <c r="A4" i="33"/>
  <c r="A3" i="33"/>
  <c r="A2" i="33"/>
  <c r="A177" i="32"/>
  <c r="A176" i="32"/>
  <c r="A175" i="32"/>
  <c r="A174" i="32"/>
  <c r="A173" i="32"/>
  <c r="A172" i="32"/>
  <c r="A171" i="32"/>
  <c r="A170" i="32"/>
  <c r="A169" i="32"/>
  <c r="A168" i="32"/>
  <c r="A167" i="32"/>
  <c r="A160" i="32"/>
  <c r="A159" i="32"/>
  <c r="A158" i="32"/>
  <c r="A157" i="32"/>
  <c r="A156" i="32"/>
  <c r="A155" i="32"/>
  <c r="A154" i="32"/>
  <c r="A153" i="32"/>
  <c r="A152" i="32"/>
  <c r="D150" i="32"/>
  <c r="D161" i="32" s="1"/>
  <c r="C150" i="32"/>
  <c r="A150" i="32"/>
  <c r="A143" i="32"/>
  <c r="A142" i="32"/>
  <c r="A141" i="32"/>
  <c r="A140" i="32"/>
  <c r="A139" i="32"/>
  <c r="A138" i="32"/>
  <c r="A137" i="32"/>
  <c r="A136" i="32"/>
  <c r="A135" i="32"/>
  <c r="A134" i="32"/>
  <c r="A151" i="32" s="1"/>
  <c r="A133" i="32"/>
  <c r="A126" i="32"/>
  <c r="A125" i="32"/>
  <c r="A124" i="32"/>
  <c r="A123" i="32"/>
  <c r="A122" i="32"/>
  <c r="A121" i="32"/>
  <c r="C120" i="32"/>
  <c r="D120" i="32" s="1"/>
  <c r="A120" i="32"/>
  <c r="A119" i="32"/>
  <c r="A118" i="32"/>
  <c r="A111" i="32"/>
  <c r="A110" i="32"/>
  <c r="A109" i="32"/>
  <c r="A108" i="32"/>
  <c r="A107" i="32"/>
  <c r="A106" i="32"/>
  <c r="A99" i="32"/>
  <c r="A98" i="32"/>
  <c r="A97" i="32"/>
  <c r="A96" i="32"/>
  <c r="A95" i="32"/>
  <c r="A94" i="32"/>
  <c r="A87" i="32"/>
  <c r="A86" i="32"/>
  <c r="A85" i="32"/>
  <c r="A84" i="32"/>
  <c r="A83" i="32"/>
  <c r="A82" i="32"/>
  <c r="A81" i="32"/>
  <c r="A80" i="32"/>
  <c r="A79" i="32"/>
  <c r="A72" i="32"/>
  <c r="A71" i="32"/>
  <c r="A70" i="32"/>
  <c r="A69" i="32"/>
  <c r="A68" i="32"/>
  <c r="A67" i="32"/>
  <c r="A66" i="32"/>
  <c r="A65" i="32"/>
  <c r="B64" i="32"/>
  <c r="A64" i="32"/>
  <c r="A63" i="32"/>
  <c r="A62" i="32"/>
  <c r="A55" i="32"/>
  <c r="A54" i="32"/>
  <c r="A53" i="32"/>
  <c r="A52" i="32"/>
  <c r="A51" i="32"/>
  <c r="A50" i="32"/>
  <c r="A43" i="32"/>
  <c r="A42" i="32"/>
  <c r="A41" i="32"/>
  <c r="A40" i="32"/>
  <c r="A39" i="32"/>
  <c r="A38" i="32"/>
  <c r="A37" i="32"/>
  <c r="A36" i="32"/>
  <c r="A29" i="32"/>
  <c r="A28" i="32"/>
  <c r="A27" i="32"/>
  <c r="A26" i="32"/>
  <c r="A25" i="32"/>
  <c r="A24" i="32"/>
  <c r="A23" i="32"/>
  <c r="A22" i="32"/>
  <c r="B21" i="32"/>
  <c r="A21" i="32"/>
  <c r="A20" i="32"/>
  <c r="A19" i="32"/>
  <c r="A12" i="32"/>
  <c r="A11" i="32"/>
  <c r="A10" i="32"/>
  <c r="A9" i="32"/>
  <c r="A8" i="32"/>
  <c r="A7" i="32"/>
  <c r="A6" i="32"/>
  <c r="A5" i="32"/>
  <c r="B4" i="32"/>
  <c r="A4" i="32"/>
  <c r="A3" i="32"/>
  <c r="A2" i="32"/>
  <c r="A25" i="31"/>
  <c r="A24" i="31"/>
  <c r="A23" i="31"/>
  <c r="A22" i="31"/>
  <c r="A21" i="31"/>
  <c r="A20" i="31"/>
  <c r="A19" i="31"/>
  <c r="A18" i="31"/>
  <c r="B17" i="31"/>
  <c r="A17" i="31"/>
  <c r="A16" i="31"/>
  <c r="A15" i="31"/>
  <c r="A8" i="31"/>
  <c r="A7" i="31"/>
  <c r="A6" i="31"/>
  <c r="A5" i="31"/>
  <c r="A4" i="31"/>
  <c r="A3" i="31"/>
  <c r="A2" i="31"/>
  <c r="A56" i="30"/>
  <c r="A55" i="30"/>
  <c r="A54" i="30"/>
  <c r="D53" i="30"/>
  <c r="A52" i="30"/>
  <c r="A45" i="30"/>
  <c r="A44" i="30"/>
  <c r="A43" i="30"/>
  <c r="A42" i="30"/>
  <c r="A41" i="30"/>
  <c r="A40" i="30"/>
  <c r="A39" i="30"/>
  <c r="A38" i="30"/>
  <c r="A37" i="30"/>
  <c r="A36" i="30"/>
  <c r="C35" i="30"/>
  <c r="D35" i="30" s="1"/>
  <c r="D46" i="30" s="1"/>
  <c r="A35" i="30"/>
  <c r="A28" i="30"/>
  <c r="A27" i="30"/>
  <c r="A26" i="30"/>
  <c r="A25" i="30"/>
  <c r="A24" i="30"/>
  <c r="A17" i="30"/>
  <c r="A16" i="30"/>
  <c r="A15" i="30"/>
  <c r="A14" i="30"/>
  <c r="A13" i="30"/>
  <c r="A6" i="30"/>
  <c r="A5" i="30"/>
  <c r="A4" i="30"/>
  <c r="A3" i="30"/>
  <c r="A2" i="30"/>
  <c r="A138" i="29"/>
  <c r="A137" i="29"/>
  <c r="A136" i="29"/>
  <c r="A135" i="29"/>
  <c r="A134" i="29"/>
  <c r="A133" i="29"/>
  <c r="A132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B108" i="29"/>
  <c r="A108" i="29"/>
  <c r="A107" i="29"/>
  <c r="A106" i="29"/>
  <c r="A99" i="29"/>
  <c r="A98" i="29"/>
  <c r="A97" i="29"/>
  <c r="A96" i="29"/>
  <c r="A95" i="29"/>
  <c r="A94" i="29"/>
  <c r="A93" i="29"/>
  <c r="A92" i="29"/>
  <c r="A85" i="29"/>
  <c r="A84" i="29"/>
  <c r="A83" i="29"/>
  <c r="A82" i="29"/>
  <c r="A81" i="29"/>
  <c r="A80" i="29"/>
  <c r="A79" i="29"/>
  <c r="B78" i="29"/>
  <c r="A78" i="29"/>
  <c r="A77" i="29"/>
  <c r="A76" i="29"/>
  <c r="A69" i="29"/>
  <c r="A68" i="29"/>
  <c r="A67" i="29"/>
  <c r="A66" i="29"/>
  <c r="A65" i="29"/>
  <c r="A64" i="29"/>
  <c r="A63" i="29"/>
  <c r="A62" i="29"/>
  <c r="B61" i="29"/>
  <c r="A61" i="29"/>
  <c r="A60" i="29"/>
  <c r="A59" i="29"/>
  <c r="A52" i="29"/>
  <c r="A51" i="29"/>
  <c r="A50" i="29"/>
  <c r="A49" i="29"/>
  <c r="A48" i="29"/>
  <c r="A47" i="29"/>
  <c r="A46" i="29"/>
  <c r="A45" i="29"/>
  <c r="A44" i="29"/>
  <c r="A43" i="29"/>
  <c r="B42" i="29"/>
  <c r="A42" i="29"/>
  <c r="A41" i="29"/>
  <c r="A40" i="29"/>
  <c r="A33" i="29"/>
  <c r="A32" i="29"/>
  <c r="A31" i="29"/>
  <c r="A30" i="29"/>
  <c r="A29" i="29"/>
  <c r="A28" i="29"/>
  <c r="A27" i="29"/>
  <c r="A26" i="29"/>
  <c r="A25" i="29"/>
  <c r="A24" i="29"/>
  <c r="B23" i="29"/>
  <c r="A23" i="29"/>
  <c r="A22" i="29"/>
  <c r="A21" i="29"/>
  <c r="A14" i="29"/>
  <c r="A13" i="29"/>
  <c r="A12" i="29"/>
  <c r="A11" i="29"/>
  <c r="A10" i="29"/>
  <c r="A9" i="29"/>
  <c r="A8" i="29"/>
  <c r="A7" i="29"/>
  <c r="A6" i="29"/>
  <c r="A5" i="29"/>
  <c r="B4" i="29"/>
  <c r="A4" i="29"/>
  <c r="A3" i="29"/>
  <c r="A2" i="29"/>
  <c r="D122" i="28"/>
  <c r="D121" i="28"/>
  <c r="D120" i="28"/>
  <c r="D119" i="28"/>
  <c r="D118" i="28"/>
  <c r="D117" i="28"/>
  <c r="D116" i="28"/>
  <c r="D123" i="28" s="1"/>
  <c r="D115" i="28"/>
  <c r="D114" i="28"/>
  <c r="D113" i="28"/>
  <c r="D112" i="28"/>
  <c r="C112" i="28"/>
  <c r="D105" i="28"/>
  <c r="D104" i="28"/>
  <c r="D103" i="28"/>
  <c r="D102" i="28"/>
  <c r="D101" i="28"/>
  <c r="D100" i="28"/>
  <c r="D99" i="28"/>
  <c r="D98" i="28"/>
  <c r="D97" i="28"/>
  <c r="D96" i="28"/>
  <c r="C95" i="28"/>
  <c r="D95" i="28" s="1"/>
  <c r="A88" i="28"/>
  <c r="A87" i="28"/>
  <c r="A86" i="28"/>
  <c r="A85" i="28"/>
  <c r="A84" i="28"/>
  <c r="A83" i="28"/>
  <c r="A82" i="28"/>
  <c r="A81" i="28"/>
  <c r="B80" i="28"/>
  <c r="A80" i="28"/>
  <c r="A79" i="28"/>
  <c r="A78" i="28"/>
  <c r="A71" i="28"/>
  <c r="A70" i="28"/>
  <c r="A69" i="28"/>
  <c r="A68" i="28"/>
  <c r="A67" i="28"/>
  <c r="A66" i="28"/>
  <c r="A65" i="28"/>
  <c r="A64" i="28"/>
  <c r="A63" i="28"/>
  <c r="A62" i="28"/>
  <c r="B61" i="28"/>
  <c r="A61" i="28"/>
  <c r="A60" i="28"/>
  <c r="A59" i="28"/>
  <c r="A52" i="28"/>
  <c r="A51" i="28"/>
  <c r="A50" i="28"/>
  <c r="A49" i="28"/>
  <c r="A48" i="28"/>
  <c r="A47" i="28"/>
  <c r="A46" i="28"/>
  <c r="A45" i="28"/>
  <c r="A44" i="28"/>
  <c r="A43" i="28"/>
  <c r="B42" i="28"/>
  <c r="A42" i="28"/>
  <c r="A41" i="28"/>
  <c r="A40" i="28"/>
  <c r="A33" i="28"/>
  <c r="A32" i="28"/>
  <c r="A31" i="28"/>
  <c r="A30" i="28"/>
  <c r="A29" i="28"/>
  <c r="A28" i="28"/>
  <c r="A27" i="28"/>
  <c r="A26" i="28"/>
  <c r="A25" i="28"/>
  <c r="A24" i="28"/>
  <c r="B23" i="28"/>
  <c r="A23" i="28"/>
  <c r="A22" i="28"/>
  <c r="A21" i="28"/>
  <c r="A14" i="28"/>
  <c r="A13" i="28"/>
  <c r="A12" i="28"/>
  <c r="A11" i="28"/>
  <c r="A10" i="28"/>
  <c r="A9" i="28"/>
  <c r="A8" i="28"/>
  <c r="A7" i="28"/>
  <c r="A6" i="28"/>
  <c r="A5" i="28"/>
  <c r="B4" i="28"/>
  <c r="A4" i="28"/>
  <c r="A3" i="28"/>
  <c r="A2" i="28"/>
  <c r="A67" i="27"/>
  <c r="A66" i="27"/>
  <c r="A65" i="27"/>
  <c r="A64" i="27"/>
  <c r="A63" i="27"/>
  <c r="A62" i="27"/>
  <c r="A55" i="27"/>
  <c r="A54" i="27"/>
  <c r="A53" i="27"/>
  <c r="A52" i="27"/>
  <c r="A51" i="27"/>
  <c r="A50" i="27"/>
  <c r="A43" i="27"/>
  <c r="A42" i="27"/>
  <c r="A41" i="27"/>
  <c r="A40" i="27"/>
  <c r="A39" i="27"/>
  <c r="A38" i="27"/>
  <c r="A31" i="27"/>
  <c r="A30" i="27"/>
  <c r="A29" i="27"/>
  <c r="A28" i="27"/>
  <c r="A27" i="27"/>
  <c r="A26" i="27"/>
  <c r="A19" i="27"/>
  <c r="A18" i="27"/>
  <c r="A17" i="27"/>
  <c r="A16" i="27"/>
  <c r="A15" i="27"/>
  <c r="A14" i="27"/>
  <c r="A7" i="27"/>
  <c r="A6" i="27"/>
  <c r="A5" i="27"/>
  <c r="A4" i="27"/>
  <c r="A3" i="27"/>
  <c r="A2" i="27"/>
  <c r="A112" i="26"/>
  <c r="A111" i="26"/>
  <c r="A110" i="26"/>
  <c r="A102" i="26"/>
  <c r="A101" i="26"/>
  <c r="A100" i="26"/>
  <c r="A93" i="26"/>
  <c r="A92" i="26"/>
  <c r="A91" i="26"/>
  <c r="C84" i="26"/>
  <c r="D84" i="26" s="1"/>
  <c r="A84" i="26"/>
  <c r="A83" i="26"/>
  <c r="A82" i="26"/>
  <c r="C81" i="26"/>
  <c r="D81" i="26" s="1"/>
  <c r="A81" i="26"/>
  <c r="A80" i="26"/>
  <c r="A79" i="26"/>
  <c r="A78" i="26"/>
  <c r="A71" i="26"/>
  <c r="A70" i="26"/>
  <c r="A69" i="26"/>
  <c r="A68" i="26"/>
  <c r="A67" i="26"/>
  <c r="A66" i="26"/>
  <c r="A65" i="26"/>
  <c r="A64" i="26"/>
  <c r="A63" i="26"/>
  <c r="A56" i="26"/>
  <c r="A55" i="26"/>
  <c r="A54" i="26"/>
  <c r="B53" i="26"/>
  <c r="A53" i="26"/>
  <c r="A52" i="26"/>
  <c r="A51" i="26"/>
  <c r="A50" i="26"/>
  <c r="A43" i="26"/>
  <c r="A42" i="26"/>
  <c r="A41" i="26"/>
  <c r="A40" i="26"/>
  <c r="A39" i="26"/>
  <c r="A38" i="26"/>
  <c r="A37" i="26"/>
  <c r="A30" i="26"/>
  <c r="A29" i="26"/>
  <c r="A28" i="26"/>
  <c r="A27" i="26"/>
  <c r="A26" i="26"/>
  <c r="A25" i="26"/>
  <c r="A18" i="26"/>
  <c r="A17" i="26"/>
  <c r="A16" i="26"/>
  <c r="A15" i="26"/>
  <c r="A14" i="26"/>
  <c r="A13" i="26"/>
  <c r="A6" i="26"/>
  <c r="A5" i="26"/>
  <c r="A4" i="26"/>
  <c r="A3" i="26"/>
  <c r="A2" i="26"/>
  <c r="A167" i="25"/>
  <c r="A166" i="25"/>
  <c r="A165" i="25"/>
  <c r="A164" i="25"/>
  <c r="A163" i="25"/>
  <c r="A162" i="25"/>
  <c r="A161" i="25"/>
  <c r="A160" i="25"/>
  <c r="A159" i="25"/>
  <c r="A158" i="25"/>
  <c r="A157" i="25"/>
  <c r="A150" i="25"/>
  <c r="A149" i="25"/>
  <c r="A148" i="25"/>
  <c r="A147" i="25"/>
  <c r="A146" i="25"/>
  <c r="A145" i="25"/>
  <c r="A144" i="25"/>
  <c r="B143" i="25"/>
  <c r="A143" i="25"/>
  <c r="A142" i="25"/>
  <c r="A141" i="25"/>
  <c r="A140" i="25"/>
  <c r="A139" i="25"/>
  <c r="A138" i="25"/>
  <c r="A131" i="25"/>
  <c r="A130" i="25"/>
  <c r="A129" i="25"/>
  <c r="A128" i="25"/>
  <c r="A127" i="25"/>
  <c r="A126" i="25"/>
  <c r="A125" i="25"/>
  <c r="A124" i="25"/>
  <c r="A123" i="25"/>
  <c r="A122" i="25"/>
  <c r="A115" i="25"/>
  <c r="A114" i="25"/>
  <c r="A113" i="25"/>
  <c r="A112" i="25"/>
  <c r="A111" i="25"/>
  <c r="A110" i="25"/>
  <c r="A109" i="25"/>
  <c r="A108" i="25"/>
  <c r="B107" i="25"/>
  <c r="A107" i="25"/>
  <c r="A106" i="25"/>
  <c r="A105" i="25"/>
  <c r="A98" i="25"/>
  <c r="A97" i="25"/>
  <c r="A96" i="25"/>
  <c r="A95" i="25"/>
  <c r="A94" i="25"/>
  <c r="A93" i="25"/>
  <c r="A92" i="25"/>
  <c r="A91" i="25"/>
  <c r="B90" i="25"/>
  <c r="A90" i="25"/>
  <c r="A89" i="25"/>
  <c r="A88" i="25"/>
  <c r="A81" i="25"/>
  <c r="A80" i="25"/>
  <c r="A79" i="25"/>
  <c r="A78" i="25"/>
  <c r="A77" i="25"/>
  <c r="A76" i="25"/>
  <c r="A75" i="25"/>
  <c r="A74" i="25"/>
  <c r="A73" i="25"/>
  <c r="A72" i="25"/>
  <c r="A71" i="25"/>
  <c r="A64" i="25"/>
  <c r="A63" i="25"/>
  <c r="A62" i="25"/>
  <c r="A61" i="25"/>
  <c r="A60" i="25"/>
  <c r="A59" i="25"/>
  <c r="A58" i="25"/>
  <c r="A57" i="25"/>
  <c r="A56" i="25"/>
  <c r="A55" i="25"/>
  <c r="A54" i="25"/>
  <c r="A47" i="25"/>
  <c r="A46" i="25"/>
  <c r="A45" i="25"/>
  <c r="A44" i="25"/>
  <c r="A43" i="25"/>
  <c r="C42" i="25"/>
  <c r="D42" i="25" s="1"/>
  <c r="A42" i="25"/>
  <c r="A41" i="25"/>
  <c r="A40" i="25"/>
  <c r="A39" i="25"/>
  <c r="A38" i="25"/>
  <c r="A37" i="25"/>
  <c r="A36" i="25"/>
  <c r="A29" i="25"/>
  <c r="A28" i="25"/>
  <c r="A27" i="25"/>
  <c r="A26" i="25"/>
  <c r="A25" i="25"/>
  <c r="A24" i="25"/>
  <c r="A23" i="25"/>
  <c r="A22" i="25"/>
  <c r="A21" i="25"/>
  <c r="A20" i="25"/>
  <c r="A19" i="25"/>
  <c r="A12" i="25"/>
  <c r="A11" i="25"/>
  <c r="A10" i="25"/>
  <c r="A9" i="25"/>
  <c r="A8" i="25"/>
  <c r="A7" i="25"/>
  <c r="A6" i="25"/>
  <c r="A5" i="25"/>
  <c r="B4" i="25"/>
  <c r="A4" i="25"/>
  <c r="A3" i="25"/>
  <c r="A2" i="25"/>
  <c r="A36" i="24"/>
  <c r="C35" i="24"/>
  <c r="D35" i="24" s="1"/>
  <c r="A35" i="24"/>
  <c r="A34" i="24"/>
  <c r="A33" i="24"/>
  <c r="A26" i="24"/>
  <c r="A25" i="24"/>
  <c r="A24" i="24"/>
  <c r="A23" i="24"/>
  <c r="A16" i="24"/>
  <c r="A15" i="24"/>
  <c r="A14" i="24"/>
  <c r="A13" i="24"/>
  <c r="A6" i="24"/>
  <c r="A5" i="24"/>
  <c r="A4" i="24"/>
  <c r="A3" i="24"/>
  <c r="A2" i="24"/>
  <c r="A43" i="19"/>
  <c r="A42" i="19"/>
  <c r="A41" i="19"/>
  <c r="A40" i="19"/>
  <c r="A39" i="19"/>
  <c r="A38" i="19"/>
  <c r="A31" i="19"/>
  <c r="A30" i="19"/>
  <c r="A29" i="19"/>
  <c r="A28" i="19"/>
  <c r="A27" i="19"/>
  <c r="A26" i="19"/>
  <c r="A19" i="19"/>
  <c r="A18" i="19"/>
  <c r="C17" i="19"/>
  <c r="D17" i="19" s="1"/>
  <c r="A17" i="19"/>
  <c r="A16" i="19"/>
  <c r="B15" i="19"/>
  <c r="A15" i="19"/>
  <c r="A14" i="19"/>
  <c r="A7" i="19"/>
  <c r="A6" i="19"/>
  <c r="A5" i="19"/>
  <c r="A4" i="19"/>
  <c r="B3" i="19"/>
  <c r="A3" i="19"/>
  <c r="A2" i="19"/>
  <c r="C43" i="18"/>
  <c r="D43" i="18" s="1"/>
  <c r="A43" i="18"/>
  <c r="A42" i="18"/>
  <c r="A41" i="18"/>
  <c r="A40" i="18"/>
  <c r="A39" i="18"/>
  <c r="A38" i="18"/>
  <c r="A31" i="18"/>
  <c r="A30" i="18"/>
  <c r="A29" i="18"/>
  <c r="A28" i="18"/>
  <c r="A27" i="18"/>
  <c r="A26" i="18"/>
  <c r="C19" i="18"/>
  <c r="D19" i="18" s="1"/>
  <c r="A19" i="18"/>
  <c r="A18" i="18"/>
  <c r="C17" i="18"/>
  <c r="D17" i="18" s="1"/>
  <c r="A17" i="18"/>
  <c r="A16" i="18"/>
  <c r="B15" i="18"/>
  <c r="A15" i="18"/>
  <c r="A14" i="18"/>
  <c r="A7" i="18"/>
  <c r="A6" i="18"/>
  <c r="A5" i="18"/>
  <c r="A4" i="18"/>
  <c r="B3" i="18"/>
  <c r="A3" i="18"/>
  <c r="A2" i="18"/>
  <c r="A43" i="17"/>
  <c r="A42" i="17"/>
  <c r="A41" i="17"/>
  <c r="A40" i="17"/>
  <c r="A39" i="17"/>
  <c r="A38" i="17"/>
  <c r="A31" i="17"/>
  <c r="A30" i="17"/>
  <c r="A29" i="17"/>
  <c r="A28" i="17"/>
  <c r="A27" i="17"/>
  <c r="A26" i="17"/>
  <c r="A19" i="17"/>
  <c r="A18" i="17"/>
  <c r="A17" i="17"/>
  <c r="A16" i="17"/>
  <c r="B15" i="17"/>
  <c r="A15" i="17"/>
  <c r="A14" i="17"/>
  <c r="A7" i="17"/>
  <c r="A6" i="17"/>
  <c r="A5" i="17"/>
  <c r="A4" i="17"/>
  <c r="B3" i="17"/>
  <c r="A3" i="17"/>
  <c r="A2" i="17"/>
  <c r="A41" i="16"/>
  <c r="A40" i="16"/>
  <c r="A39" i="16"/>
  <c r="A38" i="16"/>
  <c r="A37" i="16"/>
  <c r="A36" i="16"/>
  <c r="A35" i="16"/>
  <c r="A34" i="16"/>
  <c r="C33" i="16"/>
  <c r="D33" i="16" s="1"/>
  <c r="A33" i="16"/>
  <c r="A32" i="16"/>
  <c r="A31" i="16"/>
  <c r="A30" i="16"/>
  <c r="A29" i="16"/>
  <c r="A22" i="16"/>
  <c r="A21" i="16"/>
  <c r="A20" i="16"/>
  <c r="A19" i="16"/>
  <c r="A18" i="16"/>
  <c r="A17" i="16"/>
  <c r="A16" i="16"/>
  <c r="A9" i="16"/>
  <c r="A8" i="16"/>
  <c r="A7" i="16"/>
  <c r="A6" i="16"/>
  <c r="A5" i="16"/>
  <c r="A4" i="16"/>
  <c r="C3" i="16"/>
  <c r="D3" i="16" s="1"/>
  <c r="A3" i="16"/>
  <c r="A2" i="16"/>
  <c r="C91" i="14"/>
  <c r="D91" i="14" s="1"/>
  <c r="A91" i="14"/>
  <c r="A90" i="14"/>
  <c r="A89" i="14"/>
  <c r="A88" i="14"/>
  <c r="A87" i="14"/>
  <c r="B86" i="14"/>
  <c r="A86" i="14"/>
  <c r="A85" i="14"/>
  <c r="A84" i="14"/>
  <c r="B83" i="14"/>
  <c r="A83" i="14"/>
  <c r="B82" i="14"/>
  <c r="A82" i="14"/>
  <c r="A81" i="14"/>
  <c r="C74" i="14"/>
  <c r="D74" i="14" s="1"/>
  <c r="A74" i="14"/>
  <c r="A73" i="14"/>
  <c r="A72" i="14"/>
  <c r="B71" i="14"/>
  <c r="A71" i="14"/>
  <c r="A70" i="14"/>
  <c r="A69" i="14"/>
  <c r="A68" i="14"/>
  <c r="B67" i="14"/>
  <c r="A67" i="14"/>
  <c r="B66" i="14"/>
  <c r="A66" i="14"/>
  <c r="A65" i="14"/>
  <c r="C58" i="14"/>
  <c r="D58" i="14" s="1"/>
  <c r="A58" i="14"/>
  <c r="A57" i="14"/>
  <c r="A56" i="14"/>
  <c r="B55" i="14"/>
  <c r="A55" i="14"/>
  <c r="A54" i="14"/>
  <c r="B53" i="14"/>
  <c r="A53" i="14"/>
  <c r="B52" i="14"/>
  <c r="A52" i="14"/>
  <c r="A51" i="14"/>
  <c r="A44" i="14"/>
  <c r="A43" i="14"/>
  <c r="C42" i="14"/>
  <c r="D42" i="14" s="1"/>
  <c r="A42" i="14"/>
  <c r="A41" i="14"/>
  <c r="A40" i="14"/>
  <c r="A39" i="14"/>
  <c r="A38" i="14"/>
  <c r="A37" i="14"/>
  <c r="A36" i="14"/>
  <c r="A29" i="14"/>
  <c r="A28" i="14"/>
  <c r="A27" i="14"/>
  <c r="A26" i="14"/>
  <c r="A25" i="14"/>
  <c r="A24" i="14"/>
  <c r="A23" i="14"/>
  <c r="A22" i="14"/>
  <c r="B21" i="14"/>
  <c r="A21" i="14"/>
  <c r="A20" i="14"/>
  <c r="A19" i="14"/>
  <c r="A12" i="14"/>
  <c r="A11" i="14"/>
  <c r="A10" i="14"/>
  <c r="A9" i="14"/>
  <c r="A8" i="14"/>
  <c r="A7" i="14"/>
  <c r="A6" i="14"/>
  <c r="C5" i="14"/>
  <c r="D5" i="14" s="1"/>
  <c r="A5" i="14"/>
  <c r="B4" i="14"/>
  <c r="A4" i="14"/>
  <c r="A3" i="14"/>
  <c r="A2" i="14"/>
  <c r="A41" i="12"/>
  <c r="A40" i="12"/>
  <c r="A39" i="12"/>
  <c r="A38" i="12"/>
  <c r="A37" i="12"/>
  <c r="A36" i="12"/>
  <c r="C35" i="12"/>
  <c r="D35" i="12" s="1"/>
  <c r="A35" i="12"/>
  <c r="D34" i="12"/>
  <c r="A34" i="12"/>
  <c r="C27" i="12"/>
  <c r="D27" i="12" s="1"/>
  <c r="A27" i="12"/>
  <c r="A26" i="12"/>
  <c r="A25" i="12"/>
  <c r="A24" i="12"/>
  <c r="A23" i="12"/>
  <c r="A22" i="12"/>
  <c r="C21" i="12"/>
  <c r="D21" i="12" s="1"/>
  <c r="A21" i="12"/>
  <c r="A20" i="12"/>
  <c r="C13" i="12"/>
  <c r="D13" i="12" s="1"/>
  <c r="A13" i="12"/>
  <c r="A12" i="12"/>
  <c r="A11" i="12"/>
  <c r="A10" i="12"/>
  <c r="A9" i="12"/>
  <c r="A8" i="12"/>
  <c r="C7" i="12"/>
  <c r="D7" i="12" s="1"/>
  <c r="A7" i="12"/>
  <c r="A6" i="12"/>
  <c r="A5" i="12"/>
  <c r="A4" i="12"/>
  <c r="A3" i="12"/>
  <c r="A2" i="12"/>
  <c r="C36" i="11"/>
  <c r="A31" i="11"/>
  <c r="A30" i="11"/>
  <c r="A29" i="11"/>
  <c r="A28" i="11"/>
  <c r="A27" i="11"/>
  <c r="D26" i="11"/>
  <c r="E26" i="11" s="1"/>
  <c r="A26" i="11"/>
  <c r="A25" i="11"/>
  <c r="A18" i="11"/>
  <c r="A17" i="11"/>
  <c r="A16" i="11"/>
  <c r="C15" i="11"/>
  <c r="A15" i="11"/>
  <c r="A14" i="11"/>
  <c r="D13" i="11"/>
  <c r="E13" i="11" s="1"/>
  <c r="A13" i="11"/>
  <c r="A6" i="11"/>
  <c r="A5" i="11"/>
  <c r="A4" i="11"/>
  <c r="A3" i="11"/>
  <c r="A2" i="11"/>
  <c r="A69" i="10"/>
  <c r="A68" i="10"/>
  <c r="A67" i="10"/>
  <c r="A66" i="10"/>
  <c r="A65" i="10"/>
  <c r="A64" i="10"/>
  <c r="A63" i="10"/>
  <c r="A62" i="10"/>
  <c r="A61" i="10"/>
  <c r="A60" i="10"/>
  <c r="B59" i="10"/>
  <c r="A59" i="10"/>
  <c r="A58" i="10"/>
  <c r="A57" i="10"/>
  <c r="A50" i="10"/>
  <c r="A49" i="10"/>
  <c r="A48" i="10"/>
  <c r="A47" i="10"/>
  <c r="A46" i="10"/>
  <c r="A45" i="10"/>
  <c r="A44" i="10"/>
  <c r="B43" i="10"/>
  <c r="A43" i="10"/>
  <c r="A42" i="10"/>
  <c r="A41" i="10"/>
  <c r="A34" i="10"/>
  <c r="A33" i="10"/>
  <c r="A32" i="10"/>
  <c r="A31" i="10"/>
  <c r="A30" i="10"/>
  <c r="A29" i="10"/>
  <c r="A28" i="10"/>
  <c r="A27" i="10"/>
  <c r="B26" i="10"/>
  <c r="A26" i="10"/>
  <c r="A25" i="10"/>
  <c r="A24" i="10"/>
  <c r="C17" i="10"/>
  <c r="D17" i="10" s="1"/>
  <c r="A17" i="10"/>
  <c r="C16" i="10"/>
  <c r="D16" i="10" s="1"/>
  <c r="A16" i="10"/>
  <c r="A15" i="10"/>
  <c r="A14" i="10"/>
  <c r="A13" i="10"/>
  <c r="C6" i="10"/>
  <c r="D6" i="10" s="1"/>
  <c r="A6" i="10"/>
  <c r="A5" i="10"/>
  <c r="A4" i="10"/>
  <c r="A3" i="10"/>
  <c r="A2" i="10"/>
  <c r="A141" i="9"/>
  <c r="A140" i="9"/>
  <c r="A139" i="9"/>
  <c r="A138" i="9"/>
  <c r="D131" i="9"/>
  <c r="C131" i="9"/>
  <c r="A131" i="9"/>
  <c r="A130" i="9"/>
  <c r="C129" i="9"/>
  <c r="D129" i="9" s="1"/>
  <c r="A129" i="9"/>
  <c r="A128" i="9"/>
  <c r="A127" i="9"/>
  <c r="C126" i="9"/>
  <c r="D126" i="9" s="1"/>
  <c r="A126" i="9"/>
  <c r="A125" i="9"/>
  <c r="D124" i="9"/>
  <c r="A124" i="9"/>
  <c r="A117" i="9"/>
  <c r="A116" i="9"/>
  <c r="A115" i="9"/>
  <c r="A114" i="9"/>
  <c r="A113" i="9"/>
  <c r="C106" i="9"/>
  <c r="D106" i="9" s="1"/>
  <c r="A106" i="9"/>
  <c r="A105" i="9"/>
  <c r="A104" i="9"/>
  <c r="A103" i="9"/>
  <c r="A102" i="9"/>
  <c r="C95" i="9"/>
  <c r="D95" i="9" s="1"/>
  <c r="A95" i="9"/>
  <c r="A94" i="9"/>
  <c r="A93" i="9"/>
  <c r="A92" i="9"/>
  <c r="A91" i="9"/>
  <c r="C90" i="9"/>
  <c r="D90" i="9" s="1"/>
  <c r="A90" i="9"/>
  <c r="A89" i="9"/>
  <c r="A88" i="9"/>
  <c r="C81" i="9"/>
  <c r="D81" i="9" s="1"/>
  <c r="A81" i="9"/>
  <c r="A80" i="9"/>
  <c r="A79" i="9"/>
  <c r="B78" i="9"/>
  <c r="A78" i="9"/>
  <c r="B77" i="9"/>
  <c r="A77" i="9"/>
  <c r="C76" i="9"/>
  <c r="D76" i="9" s="1"/>
  <c r="B76" i="9"/>
  <c r="A76" i="9"/>
  <c r="B75" i="9"/>
  <c r="A75" i="9"/>
  <c r="B74" i="9"/>
  <c r="A74" i="9"/>
  <c r="C67" i="9"/>
  <c r="D67" i="9" s="1"/>
  <c r="A67" i="9"/>
  <c r="A66" i="9"/>
  <c r="A65" i="9"/>
  <c r="A64" i="9"/>
  <c r="A63" i="9"/>
  <c r="D62" i="9"/>
  <c r="C62" i="9"/>
  <c r="A62" i="9"/>
  <c r="A61" i="9"/>
  <c r="A60" i="9"/>
  <c r="A53" i="9"/>
  <c r="A52" i="9"/>
  <c r="A51" i="9"/>
  <c r="B50" i="9"/>
  <c r="A50" i="9"/>
  <c r="B49" i="9"/>
  <c r="A49" i="9"/>
  <c r="C48" i="9"/>
  <c r="D48" i="9" s="1"/>
  <c r="B48" i="9"/>
  <c r="A48" i="9"/>
  <c r="B47" i="9"/>
  <c r="A47" i="9"/>
  <c r="B46" i="9"/>
  <c r="A46" i="9"/>
  <c r="A39" i="9"/>
  <c r="A38" i="9"/>
  <c r="A37" i="9"/>
  <c r="A36" i="9"/>
  <c r="C35" i="9"/>
  <c r="D35" i="9" s="1"/>
  <c r="A35" i="9"/>
  <c r="C34" i="9"/>
  <c r="D34" i="9" s="1"/>
  <c r="A34" i="9"/>
  <c r="A33" i="9"/>
  <c r="A32" i="9"/>
  <c r="C25" i="9"/>
  <c r="D25" i="9" s="1"/>
  <c r="A25" i="9"/>
  <c r="A24" i="9"/>
  <c r="A23" i="9"/>
  <c r="A22" i="9"/>
  <c r="A15" i="9"/>
  <c r="A14" i="9"/>
  <c r="A13" i="9"/>
  <c r="C12" i="9"/>
  <c r="D12" i="9" s="1"/>
  <c r="A12" i="9"/>
  <c r="C5" i="9"/>
  <c r="D5" i="9" s="1"/>
  <c r="A5" i="9"/>
  <c r="A4" i="9"/>
  <c r="A3" i="9"/>
  <c r="A2" i="9"/>
  <c r="C71" i="8"/>
  <c r="D71" i="8" s="1"/>
  <c r="A71" i="8"/>
  <c r="A70" i="8"/>
  <c r="A69" i="8"/>
  <c r="A68" i="8"/>
  <c r="A67" i="8"/>
  <c r="A66" i="8"/>
  <c r="A65" i="8"/>
  <c r="A64" i="8"/>
  <c r="A63" i="8"/>
  <c r="A56" i="8"/>
  <c r="A55" i="8"/>
  <c r="A54" i="8"/>
  <c r="A53" i="8"/>
  <c r="A52" i="8"/>
  <c r="A51" i="8"/>
  <c r="A50" i="8"/>
  <c r="A49" i="8"/>
  <c r="A48" i="8"/>
  <c r="C41" i="8"/>
  <c r="D41" i="8" s="1"/>
  <c r="A41" i="8"/>
  <c r="A40" i="8"/>
  <c r="A39" i="8"/>
  <c r="A38" i="8"/>
  <c r="A37" i="8"/>
  <c r="A36" i="8"/>
  <c r="A35" i="8"/>
  <c r="A34" i="8"/>
  <c r="A33" i="8"/>
  <c r="A32" i="8"/>
  <c r="C25" i="8"/>
  <c r="D25" i="8" s="1"/>
  <c r="A25" i="8"/>
  <c r="A24" i="8"/>
  <c r="A23" i="8"/>
  <c r="A22" i="8"/>
  <c r="A21" i="8"/>
  <c r="A20" i="8"/>
  <c r="A19" i="8"/>
  <c r="D18" i="8"/>
  <c r="A18" i="8"/>
  <c r="C17" i="8"/>
  <c r="D17" i="8" s="1"/>
  <c r="A17" i="8"/>
  <c r="A10" i="8"/>
  <c r="A9" i="8"/>
  <c r="A8" i="8"/>
  <c r="A7" i="8"/>
  <c r="A6" i="8"/>
  <c r="A5" i="8"/>
  <c r="A4" i="8"/>
  <c r="A3" i="8"/>
  <c r="A2" i="8"/>
  <c r="A87" i="7"/>
  <c r="A86" i="7"/>
  <c r="C85" i="7"/>
  <c r="D85" i="7" s="1"/>
  <c r="A85" i="7"/>
  <c r="C84" i="7"/>
  <c r="D84" i="7" s="1"/>
  <c r="A84" i="7"/>
  <c r="A83" i="7"/>
  <c r="C82" i="7"/>
  <c r="D82" i="7" s="1"/>
  <c r="A82" i="7"/>
  <c r="A75" i="7"/>
  <c r="A74" i="7"/>
  <c r="A73" i="7"/>
  <c r="A72" i="7"/>
  <c r="A71" i="7"/>
  <c r="A70" i="7"/>
  <c r="A69" i="7"/>
  <c r="A62" i="7"/>
  <c r="A61" i="7"/>
  <c r="A60" i="7"/>
  <c r="A59" i="7"/>
  <c r="A58" i="7"/>
  <c r="A57" i="7"/>
  <c r="C56" i="7"/>
  <c r="D56" i="7" s="1"/>
  <c r="A56" i="7"/>
  <c r="A49" i="7"/>
  <c r="A48" i="7"/>
  <c r="A47" i="7"/>
  <c r="A46" i="7"/>
  <c r="A45" i="7"/>
  <c r="A44" i="7"/>
  <c r="A43" i="7"/>
  <c r="A42" i="7"/>
  <c r="A35" i="7"/>
  <c r="C34" i="7"/>
  <c r="D34" i="7" s="1"/>
  <c r="A34" i="7"/>
  <c r="A33" i="7"/>
  <c r="A32" i="7"/>
  <c r="D31" i="7"/>
  <c r="A31" i="7"/>
  <c r="A30" i="7"/>
  <c r="A29" i="7"/>
  <c r="A22" i="7"/>
  <c r="A21" i="7"/>
  <c r="A20" i="7"/>
  <c r="A19" i="7"/>
  <c r="A18" i="7"/>
  <c r="A17" i="7"/>
  <c r="A16" i="7"/>
  <c r="A9" i="7"/>
  <c r="C8" i="7"/>
  <c r="D8" i="7" s="1"/>
  <c r="A8" i="7"/>
  <c r="C7" i="7"/>
  <c r="D7" i="7" s="1"/>
  <c r="A7" i="7"/>
  <c r="A6" i="7"/>
  <c r="A5" i="7"/>
  <c r="A4" i="7"/>
  <c r="A3" i="7"/>
  <c r="A2" i="7"/>
  <c r="C10" i="6"/>
  <c r="D10" i="6" s="1"/>
  <c r="A10" i="6"/>
  <c r="A9" i="6"/>
  <c r="A8" i="6"/>
  <c r="A7" i="6"/>
  <c r="A6" i="6"/>
  <c r="A5" i="6"/>
  <c r="C4" i="6"/>
  <c r="D4" i="6" s="1"/>
  <c r="A4" i="6"/>
  <c r="A3" i="6"/>
  <c r="A2" i="6"/>
  <c r="C191" i="4"/>
  <c r="D191" i="4" s="1"/>
  <c r="A191" i="4"/>
  <c r="A190" i="4"/>
  <c r="A189" i="4"/>
  <c r="A188" i="4"/>
  <c r="B187" i="4"/>
  <c r="A187" i="4"/>
  <c r="C186" i="4"/>
  <c r="D186" i="4" s="1"/>
  <c r="A186" i="4"/>
  <c r="A179" i="4"/>
  <c r="C178" i="4"/>
  <c r="D178" i="4" s="1"/>
  <c r="A178" i="4"/>
  <c r="A177" i="4"/>
  <c r="A176" i="4"/>
  <c r="A175" i="4"/>
  <c r="C174" i="4"/>
  <c r="D174" i="4" s="1"/>
  <c r="A174" i="4"/>
  <c r="A173" i="4"/>
  <c r="A166" i="4"/>
  <c r="A165" i="4"/>
  <c r="A164" i="4"/>
  <c r="A163" i="4"/>
  <c r="A162" i="4"/>
  <c r="A161" i="4"/>
  <c r="A160" i="4"/>
  <c r="C153" i="4"/>
  <c r="D153" i="4" s="1"/>
  <c r="A153" i="4"/>
  <c r="A152" i="4"/>
  <c r="A151" i="4"/>
  <c r="A150" i="4"/>
  <c r="A149" i="4"/>
  <c r="A148" i="4"/>
  <c r="A147" i="4"/>
  <c r="A140" i="4"/>
  <c r="A139" i="4"/>
  <c r="A138" i="4"/>
  <c r="A137" i="4"/>
  <c r="A136" i="4"/>
  <c r="A135" i="4"/>
  <c r="A134" i="4"/>
  <c r="D133" i="4"/>
  <c r="C133" i="4"/>
  <c r="A133" i="4"/>
  <c r="A132" i="4"/>
  <c r="A131" i="4"/>
  <c r="A130" i="4"/>
  <c r="A129" i="4"/>
  <c r="A128" i="4"/>
  <c r="A127" i="4"/>
  <c r="A126" i="4"/>
  <c r="A125" i="4"/>
  <c r="A124" i="4"/>
  <c r="B123" i="4"/>
  <c r="A123" i="4"/>
  <c r="A122" i="4"/>
  <c r="A121" i="4"/>
  <c r="C114" i="4"/>
  <c r="D114" i="4" s="1"/>
  <c r="A114" i="4"/>
  <c r="A113" i="4"/>
  <c r="A112" i="4"/>
  <c r="A111" i="4"/>
  <c r="A110" i="4"/>
  <c r="A109" i="4"/>
  <c r="A108" i="4"/>
  <c r="A107" i="4"/>
  <c r="A100" i="4"/>
  <c r="A99" i="4"/>
  <c r="C98" i="4"/>
  <c r="D98" i="4" s="1"/>
  <c r="A98" i="4"/>
  <c r="A97" i="4"/>
  <c r="A96" i="4"/>
  <c r="C95" i="4"/>
  <c r="D95" i="4" s="1"/>
  <c r="A95" i="4"/>
  <c r="A94" i="4"/>
  <c r="B93" i="4"/>
  <c r="A93" i="4"/>
  <c r="A92" i="4"/>
  <c r="A91" i="4"/>
  <c r="C90" i="4"/>
  <c r="D90" i="4" s="1"/>
  <c r="A90" i="4"/>
  <c r="A83" i="4"/>
  <c r="A82" i="4"/>
  <c r="A81" i="4"/>
  <c r="A80" i="4"/>
  <c r="A79" i="4"/>
  <c r="C78" i="4"/>
  <c r="D78" i="4" s="1"/>
  <c r="A78" i="4"/>
  <c r="A77" i="4"/>
  <c r="A76" i="4"/>
  <c r="B75" i="4"/>
  <c r="A75" i="4"/>
  <c r="A74" i="4"/>
  <c r="A73" i="4"/>
  <c r="A66" i="4"/>
  <c r="A65" i="4"/>
  <c r="A64" i="4"/>
  <c r="A63" i="4"/>
  <c r="A62" i="4"/>
  <c r="C61" i="4"/>
  <c r="D61" i="4" s="1"/>
  <c r="A61" i="4"/>
  <c r="A60" i="4"/>
  <c r="A59" i="4"/>
  <c r="C58" i="4"/>
  <c r="B58" i="4"/>
  <c r="D58" i="4" s="1"/>
  <c r="A58" i="4"/>
  <c r="A57" i="4"/>
  <c r="A56" i="4"/>
  <c r="A49" i="4"/>
  <c r="A48" i="4"/>
  <c r="C47" i="4"/>
  <c r="D47" i="4" s="1"/>
  <c r="A47" i="4"/>
  <c r="A46" i="4"/>
  <c r="A45" i="4"/>
  <c r="C44" i="4"/>
  <c r="D44" i="4" s="1"/>
  <c r="A44" i="4"/>
  <c r="A43" i="4"/>
  <c r="A42" i="4"/>
  <c r="C41" i="4"/>
  <c r="D41" i="4" s="1"/>
  <c r="A41" i="4"/>
  <c r="B40" i="4"/>
  <c r="A40" i="4"/>
  <c r="A39" i="4"/>
  <c r="A38" i="4"/>
  <c r="C31" i="4"/>
  <c r="D31" i="4" s="1"/>
  <c r="A31" i="4"/>
  <c r="A30" i="4"/>
  <c r="C29" i="4"/>
  <c r="D29" i="4" s="1"/>
  <c r="A29" i="4"/>
  <c r="A28" i="4"/>
  <c r="A27" i="4"/>
  <c r="A26" i="4"/>
  <c r="A25" i="4"/>
  <c r="A24" i="4"/>
  <c r="A23" i="4"/>
  <c r="B22" i="4"/>
  <c r="A22" i="4"/>
  <c r="C21" i="4"/>
  <c r="D21" i="4" s="1"/>
  <c r="A21" i="4"/>
  <c r="A20" i="4"/>
  <c r="C13" i="4"/>
  <c r="D13" i="4" s="1"/>
  <c r="A13" i="4"/>
  <c r="A12" i="4"/>
  <c r="C11" i="4"/>
  <c r="D11" i="4" s="1"/>
  <c r="A11" i="4"/>
  <c r="A10" i="4"/>
  <c r="A9" i="4"/>
  <c r="A8" i="4"/>
  <c r="A7" i="4"/>
  <c r="A6" i="4"/>
  <c r="A5" i="4"/>
  <c r="B4" i="4"/>
  <c r="A4" i="4"/>
  <c r="A3" i="4"/>
  <c r="A2" i="4"/>
  <c r="A125" i="3"/>
  <c r="A124" i="3"/>
  <c r="D123" i="3"/>
  <c r="A122" i="3"/>
  <c r="A121" i="3"/>
  <c r="A120" i="3"/>
  <c r="A119" i="3"/>
  <c r="A118" i="3"/>
  <c r="A117" i="3"/>
  <c r="A116" i="3"/>
  <c r="A115" i="3"/>
  <c r="A114" i="3"/>
  <c r="A113" i="3"/>
  <c r="A106" i="3"/>
  <c r="A105" i="3"/>
  <c r="A104" i="3"/>
  <c r="A103" i="3"/>
  <c r="C102" i="3"/>
  <c r="D102" i="3" s="1"/>
  <c r="A102" i="3"/>
  <c r="A101" i="3"/>
  <c r="A100" i="3"/>
  <c r="A99" i="3"/>
  <c r="B98" i="3"/>
  <c r="A98" i="3"/>
  <c r="A97" i="3"/>
  <c r="A96" i="3"/>
  <c r="C89" i="3"/>
  <c r="D89" i="3" s="1"/>
  <c r="A89" i="3"/>
  <c r="A88" i="3"/>
  <c r="A87" i="3"/>
  <c r="A86" i="3"/>
  <c r="A85" i="3"/>
  <c r="A84" i="3"/>
  <c r="A83" i="3"/>
  <c r="A82" i="3"/>
  <c r="C81" i="3"/>
  <c r="D81" i="3" s="1"/>
  <c r="A81" i="3"/>
  <c r="B80" i="3"/>
  <c r="A80" i="3"/>
  <c r="A79" i="3"/>
  <c r="A78" i="3"/>
  <c r="C71" i="3"/>
  <c r="D71" i="3" s="1"/>
  <c r="A71" i="3"/>
  <c r="A70" i="3"/>
  <c r="A69" i="3"/>
  <c r="A68" i="3"/>
  <c r="A67" i="3"/>
  <c r="A66" i="3"/>
  <c r="A65" i="3"/>
  <c r="A64" i="3"/>
  <c r="C63" i="3"/>
  <c r="D63" i="3" s="1"/>
  <c r="A63" i="3"/>
  <c r="D62" i="3"/>
  <c r="C62" i="3"/>
  <c r="B62" i="3"/>
  <c r="A62" i="3"/>
  <c r="A61" i="3"/>
  <c r="A60" i="3"/>
  <c r="D53" i="3"/>
  <c r="C53" i="3"/>
  <c r="A53" i="3"/>
  <c r="A52" i="3"/>
  <c r="C51" i="3"/>
  <c r="D51" i="3" s="1"/>
  <c r="A51" i="3"/>
  <c r="A50" i="3"/>
  <c r="A49" i="3"/>
  <c r="A48" i="3"/>
  <c r="A47" i="3"/>
  <c r="A46" i="3"/>
  <c r="C45" i="3"/>
  <c r="D45" i="3" s="1"/>
  <c r="A45" i="3"/>
  <c r="B44" i="3"/>
  <c r="A44" i="3"/>
  <c r="A43" i="3"/>
  <c r="A42" i="3"/>
  <c r="C35" i="3"/>
  <c r="D35" i="3" s="1"/>
  <c r="A35" i="3"/>
  <c r="A34" i="3"/>
  <c r="A33" i="3"/>
  <c r="A32" i="3"/>
  <c r="A31" i="3"/>
  <c r="A30" i="3"/>
  <c r="A29" i="3"/>
  <c r="A28" i="3"/>
  <c r="C27" i="3"/>
  <c r="D27" i="3" s="1"/>
  <c r="A27" i="3"/>
  <c r="B26" i="3"/>
  <c r="A26" i="3"/>
  <c r="A25" i="3"/>
  <c r="A24" i="3"/>
  <c r="D20" i="3"/>
  <c r="D19" i="3"/>
  <c r="C16" i="3"/>
  <c r="D16" i="3" s="1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3" i="2"/>
  <c r="A22" i="2"/>
  <c r="C21" i="2"/>
  <c r="D21" i="2" s="1"/>
  <c r="A21" i="2"/>
  <c r="C20" i="2"/>
  <c r="D20" i="2" s="1"/>
  <c r="A20" i="2"/>
  <c r="A19" i="2"/>
  <c r="A18" i="2"/>
  <c r="D11" i="2"/>
  <c r="C11" i="2"/>
  <c r="A11" i="2"/>
  <c r="A10" i="2"/>
  <c r="C9" i="2"/>
  <c r="D9" i="2" s="1"/>
  <c r="A9" i="2"/>
  <c r="A8" i="2"/>
  <c r="A7" i="2"/>
  <c r="A6" i="2"/>
  <c r="A5" i="2"/>
  <c r="A4" i="2"/>
  <c r="A3" i="2"/>
  <c r="A2" i="2"/>
  <c r="F243" i="1"/>
  <c r="C119" i="3" s="1"/>
  <c r="D119" i="3" s="1"/>
  <c r="F242" i="1"/>
  <c r="F241" i="1"/>
  <c r="C32" i="16" s="1"/>
  <c r="D32" i="16" s="1"/>
  <c r="F240" i="1"/>
  <c r="C31" i="16" s="1"/>
  <c r="D31" i="16" s="1"/>
  <c r="F239" i="1"/>
  <c r="C30" i="16" s="1"/>
  <c r="D30" i="16" s="1"/>
  <c r="F238" i="1"/>
  <c r="C29" i="16" s="1"/>
  <c r="D29" i="16" s="1"/>
  <c r="F237" i="1"/>
  <c r="F236" i="1"/>
  <c r="C18" i="2" s="1"/>
  <c r="D18" i="2" s="1"/>
  <c r="F235" i="1"/>
  <c r="D27" i="11" s="1"/>
  <c r="E27" i="11" s="1"/>
  <c r="F234" i="1"/>
  <c r="D28" i="11" s="1"/>
  <c r="E28" i="11" s="1"/>
  <c r="C233" i="1"/>
  <c r="F233" i="1" s="1"/>
  <c r="C6" i="2" s="1"/>
  <c r="D6" i="2" s="1"/>
  <c r="C232" i="1"/>
  <c r="F232" i="1" s="1"/>
  <c r="C5" i="2" s="1"/>
  <c r="D5" i="2" s="1"/>
  <c r="C231" i="1"/>
  <c r="F231" i="1" s="1"/>
  <c r="C3" i="2" s="1"/>
  <c r="D3" i="2" s="1"/>
  <c r="C230" i="1"/>
  <c r="F230" i="1" s="1"/>
  <c r="C2" i="2" s="1"/>
  <c r="D2" i="2" s="1"/>
  <c r="F229" i="1"/>
  <c r="F228" i="1"/>
  <c r="C177" i="4" s="1"/>
  <c r="D177" i="4" s="1"/>
  <c r="C227" i="1"/>
  <c r="F227" i="1" s="1"/>
  <c r="C226" i="1"/>
  <c r="F226" i="1" s="1"/>
  <c r="C175" i="4" s="1"/>
  <c r="D175" i="4" s="1"/>
  <c r="F225" i="1"/>
  <c r="C162" i="4" s="1"/>
  <c r="D162" i="4" s="1"/>
  <c r="F224" i="1"/>
  <c r="C161" i="4" s="1"/>
  <c r="D161" i="4" s="1"/>
  <c r="F223" i="1"/>
  <c r="D222" i="1"/>
  <c r="F222" i="1" s="1"/>
  <c r="C160" i="4" s="1"/>
  <c r="D160" i="4" s="1"/>
  <c r="F221" i="1"/>
  <c r="F220" i="1"/>
  <c r="C110" i="26" s="1"/>
  <c r="D110" i="26" s="1"/>
  <c r="F219" i="1"/>
  <c r="C64" i="8" s="1"/>
  <c r="D64" i="8" s="1"/>
  <c r="F218" i="1"/>
  <c r="C63" i="8" s="1"/>
  <c r="D63" i="8" s="1"/>
  <c r="C217" i="1"/>
  <c r="F217" i="1" s="1"/>
  <c r="F216" i="1"/>
  <c r="D25" i="11" s="1"/>
  <c r="E25" i="11" s="1"/>
  <c r="F215" i="1"/>
  <c r="F214" i="1"/>
  <c r="C36" i="8" s="1"/>
  <c r="D36" i="8" s="1"/>
  <c r="F213" i="1"/>
  <c r="C34" i="8" s="1"/>
  <c r="D34" i="8" s="1"/>
  <c r="F212" i="1"/>
  <c r="C33" i="8" s="1"/>
  <c r="D33" i="8" s="1"/>
  <c r="F211" i="1"/>
  <c r="C32" i="8" s="1"/>
  <c r="D32" i="8" s="1"/>
  <c r="F210" i="1"/>
  <c r="C19" i="8" s="1"/>
  <c r="D19" i="8" s="1"/>
  <c r="F209" i="1"/>
  <c r="C18" i="8" s="1"/>
  <c r="F208" i="1"/>
  <c r="F207" i="1"/>
  <c r="C3" i="8" s="1"/>
  <c r="D3" i="8" s="1"/>
  <c r="F206" i="1"/>
  <c r="C2" i="8" s="1"/>
  <c r="D2" i="8" s="1"/>
  <c r="F205" i="1"/>
  <c r="C5" i="8" s="1"/>
  <c r="D5" i="8" s="1"/>
  <c r="F204" i="1"/>
  <c r="F203" i="1"/>
  <c r="C138" i="9" s="1"/>
  <c r="D138" i="9" s="1"/>
  <c r="F202" i="1"/>
  <c r="F201" i="1"/>
  <c r="C3" i="24" s="1"/>
  <c r="D3" i="24" s="1"/>
  <c r="F200" i="1"/>
  <c r="C2" i="24" s="1"/>
  <c r="D2" i="24" s="1"/>
  <c r="F199" i="1"/>
  <c r="C4" i="7" s="1"/>
  <c r="D4" i="7" s="1"/>
  <c r="F198" i="1"/>
  <c r="C5" i="7" s="1"/>
  <c r="D5" i="7" s="1"/>
  <c r="F197" i="1"/>
  <c r="C3" i="7" s="1"/>
  <c r="D3" i="7" s="1"/>
  <c r="C196" i="1"/>
  <c r="F196" i="1" s="1"/>
  <c r="C2" i="7" s="1"/>
  <c r="D2" i="7" s="1"/>
  <c r="F195" i="1"/>
  <c r="C194" i="1"/>
  <c r="F194" i="1" s="1"/>
  <c r="F193" i="1"/>
  <c r="F192" i="1"/>
  <c r="F191" i="1"/>
  <c r="F190" i="1"/>
  <c r="C147" i="25" s="1"/>
  <c r="D147" i="25" s="1"/>
  <c r="F189" i="1"/>
  <c r="C145" i="25" s="1"/>
  <c r="D145" i="25" s="1"/>
  <c r="F188" i="1"/>
  <c r="C144" i="25" s="1"/>
  <c r="D144" i="25" s="1"/>
  <c r="F187" i="1"/>
  <c r="C143" i="25" s="1"/>
  <c r="D143" i="25" s="1"/>
  <c r="F186" i="1"/>
  <c r="C142" i="25" s="1"/>
  <c r="D142" i="25" s="1"/>
  <c r="F185" i="1"/>
  <c r="C141" i="25" s="1"/>
  <c r="D141" i="25" s="1"/>
  <c r="F184" i="1"/>
  <c r="C140" i="25" s="1"/>
  <c r="D140" i="25" s="1"/>
  <c r="F183" i="1"/>
  <c r="C139" i="25" s="1"/>
  <c r="D139" i="25" s="1"/>
  <c r="F182" i="1"/>
  <c r="C138" i="25" s="1"/>
  <c r="D138" i="25" s="1"/>
  <c r="F181" i="1"/>
  <c r="F180" i="1"/>
  <c r="C127" i="25" s="1"/>
  <c r="D127" i="25" s="1"/>
  <c r="F179" i="1"/>
  <c r="C126" i="25" s="1"/>
  <c r="D126" i="25" s="1"/>
  <c r="F178" i="1"/>
  <c r="C125" i="25" s="1"/>
  <c r="D125" i="25" s="1"/>
  <c r="F177" i="1"/>
  <c r="C124" i="25" s="1"/>
  <c r="D124" i="25" s="1"/>
  <c r="F176" i="1"/>
  <c r="C123" i="25" s="1"/>
  <c r="D123" i="25" s="1"/>
  <c r="F175" i="1"/>
  <c r="C122" i="25" s="1"/>
  <c r="D122" i="25" s="1"/>
  <c r="F174" i="1"/>
  <c r="C25" i="25" s="1"/>
  <c r="D25" i="25" s="1"/>
  <c r="F173" i="1"/>
  <c r="F172" i="1"/>
  <c r="F171" i="1"/>
  <c r="C56" i="25" s="1"/>
  <c r="D56" i="25" s="1"/>
  <c r="F170" i="1"/>
  <c r="F169" i="1"/>
  <c r="C37" i="25" s="1"/>
  <c r="D37" i="25" s="1"/>
  <c r="F168" i="1"/>
  <c r="F167" i="1"/>
  <c r="C54" i="25" s="1"/>
  <c r="D54" i="25" s="1"/>
  <c r="F166" i="1"/>
  <c r="C71" i="25" s="1"/>
  <c r="D71" i="25" s="1"/>
  <c r="F165" i="1"/>
  <c r="C19" i="25" s="1"/>
  <c r="D19" i="25" s="1"/>
  <c r="F164" i="1"/>
  <c r="C36" i="25" s="1"/>
  <c r="D36" i="25" s="1"/>
  <c r="F163" i="1"/>
  <c r="C39" i="25" s="1"/>
  <c r="D39" i="25" s="1"/>
  <c r="F162" i="1"/>
  <c r="F161" i="1"/>
  <c r="C21" i="25" s="1"/>
  <c r="D21" i="25" s="1"/>
  <c r="F160" i="1"/>
  <c r="F159" i="1"/>
  <c r="C100" i="26" s="1"/>
  <c r="D100" i="26" s="1"/>
  <c r="F158" i="1"/>
  <c r="C91" i="26" s="1"/>
  <c r="D91" i="26" s="1"/>
  <c r="F157" i="1"/>
  <c r="F156" i="1"/>
  <c r="C65" i="26" s="1"/>
  <c r="D65" i="26" s="1"/>
  <c r="F155" i="1"/>
  <c r="F154" i="1"/>
  <c r="C154" i="1"/>
  <c r="F153" i="1"/>
  <c r="C152" i="1"/>
  <c r="F151" i="1"/>
  <c r="F150" i="1"/>
  <c r="C150" i="4" s="1"/>
  <c r="D150" i="4" s="1"/>
  <c r="F149" i="1"/>
  <c r="C132" i="29" s="1"/>
  <c r="D132" i="29" s="1"/>
  <c r="F148" i="1"/>
  <c r="C60" i="9" s="1"/>
  <c r="D60" i="9" s="1"/>
  <c r="F147" i="1"/>
  <c r="C88" i="9" s="1"/>
  <c r="D88" i="9" s="1"/>
  <c r="C146" i="1"/>
  <c r="F146" i="1" s="1"/>
  <c r="F145" i="1"/>
  <c r="C144" i="1"/>
  <c r="F144" i="1" s="1"/>
  <c r="C143" i="1"/>
  <c r="F143" i="1" s="1"/>
  <c r="F142" i="1"/>
  <c r="C3" i="31" s="1"/>
  <c r="D3" i="31" s="1"/>
  <c r="F141" i="1"/>
  <c r="F140" i="1"/>
  <c r="F139" i="1"/>
  <c r="F138" i="1"/>
  <c r="F137" i="1"/>
  <c r="F136" i="1"/>
  <c r="F135" i="1"/>
  <c r="F134" i="1"/>
  <c r="F133" i="1"/>
  <c r="F132" i="1"/>
  <c r="C82" i="32" s="1"/>
  <c r="D82" i="32" s="1"/>
  <c r="F131" i="1"/>
  <c r="F130" i="1"/>
  <c r="C83" i="32" s="1"/>
  <c r="D83" i="32" s="1"/>
  <c r="F129" i="1"/>
  <c r="C80" i="32" s="1"/>
  <c r="D80" i="32" s="1"/>
  <c r="F128" i="1"/>
  <c r="F127" i="1"/>
  <c r="C39" i="32" s="1"/>
  <c r="D39" i="32" s="1"/>
  <c r="F126" i="1"/>
  <c r="C119" i="32" s="1"/>
  <c r="D119" i="32" s="1"/>
  <c r="F125" i="1"/>
  <c r="C118" i="32" s="1"/>
  <c r="D118" i="32" s="1"/>
  <c r="F124" i="1"/>
  <c r="C5" i="32" s="1"/>
  <c r="D5" i="32" s="1"/>
  <c r="C123" i="1"/>
  <c r="F123" i="1" s="1"/>
  <c r="C2" i="32" s="1"/>
  <c r="D2" i="32" s="1"/>
  <c r="C122" i="1"/>
  <c r="F122" i="1" s="1"/>
  <c r="C6" i="32" s="1"/>
  <c r="D6" i="32" s="1"/>
  <c r="F121" i="1"/>
  <c r="F120" i="1"/>
  <c r="C132" i="4" s="1"/>
  <c r="D132" i="4" s="1"/>
  <c r="F119" i="1"/>
  <c r="C16" i="16" s="1"/>
  <c r="D16" i="16" s="1"/>
  <c r="F118" i="1"/>
  <c r="F117" i="1"/>
  <c r="C64" i="10" s="1"/>
  <c r="D64" i="10" s="1"/>
  <c r="F116" i="1"/>
  <c r="F115" i="1"/>
  <c r="F114" i="1"/>
  <c r="C38" i="26" s="1"/>
  <c r="D38" i="26" s="1"/>
  <c r="F113" i="1"/>
  <c r="C120" i="34" s="1"/>
  <c r="D120" i="34" s="1"/>
  <c r="F112" i="1"/>
  <c r="C111" i="1"/>
  <c r="F111" i="1" s="1"/>
  <c r="F110" i="1"/>
  <c r="D109" i="1"/>
  <c r="F109" i="1" s="1"/>
  <c r="D108" i="1"/>
  <c r="F108" i="1" s="1"/>
  <c r="F107" i="1"/>
  <c r="C166" i="4" s="1"/>
  <c r="D166" i="4" s="1"/>
  <c r="F106" i="1"/>
  <c r="C84" i="34" s="1"/>
  <c r="D84" i="34" s="1"/>
  <c r="F105" i="1"/>
  <c r="F104" i="1"/>
  <c r="F103" i="1"/>
  <c r="F102" i="1"/>
  <c r="F101" i="1"/>
  <c r="F100" i="1"/>
  <c r="F99" i="1"/>
  <c r="C98" i="1"/>
  <c r="F98" i="1" s="1"/>
  <c r="C69" i="14" s="1"/>
  <c r="D69" i="14" s="1"/>
  <c r="F97" i="1"/>
  <c r="C96" i="1"/>
  <c r="F96" i="1" s="1"/>
  <c r="C65" i="14" s="1"/>
  <c r="D65" i="14" s="1"/>
  <c r="F95" i="1"/>
  <c r="C88" i="14" s="1"/>
  <c r="D88" i="14" s="1"/>
  <c r="F94" i="1"/>
  <c r="C38" i="8" s="1"/>
  <c r="D38" i="8" s="1"/>
  <c r="C93" i="1"/>
  <c r="F93" i="1" s="1"/>
  <c r="F92" i="1"/>
  <c r="C36" i="14" s="1"/>
  <c r="D36" i="14" s="1"/>
  <c r="F91" i="1"/>
  <c r="C86" i="14" s="1"/>
  <c r="C90" i="1"/>
  <c r="F90" i="1" s="1"/>
  <c r="F89" i="1"/>
  <c r="C51" i="14" s="1"/>
  <c r="D51" i="14" s="1"/>
  <c r="F88" i="1"/>
  <c r="C19" i="7" s="1"/>
  <c r="D19" i="7" s="1"/>
  <c r="F87" i="1"/>
  <c r="C39" i="18" s="1"/>
  <c r="D39" i="18" s="1"/>
  <c r="F86" i="1"/>
  <c r="C38" i="19" s="1"/>
  <c r="D38" i="19" s="1"/>
  <c r="F85" i="1"/>
  <c r="C3" i="17" s="1"/>
  <c r="F84" i="1"/>
  <c r="C94" i="32" s="1"/>
  <c r="D94" i="32" s="1"/>
  <c r="F83" i="1"/>
  <c r="C16" i="17" s="1"/>
  <c r="D16" i="17" s="1"/>
  <c r="F82" i="1"/>
  <c r="C77" i="9" s="1"/>
  <c r="F81" i="1"/>
  <c r="F79" i="1"/>
  <c r="C18" i="16" s="1"/>
  <c r="D18" i="16" s="1"/>
  <c r="F78" i="1"/>
  <c r="F77" i="1"/>
  <c r="C4" i="12" s="1"/>
  <c r="D4" i="12" s="1"/>
  <c r="F76" i="1"/>
  <c r="C2" i="16" s="1"/>
  <c r="D2" i="16" s="1"/>
  <c r="F75" i="1"/>
  <c r="C83" i="14" s="1"/>
  <c r="F74" i="1"/>
  <c r="F73" i="1"/>
  <c r="F72" i="1"/>
  <c r="D71" i="1"/>
  <c r="F71" i="1" s="1"/>
  <c r="C116" i="35" s="1"/>
  <c r="D116" i="35" s="1"/>
  <c r="F70" i="1"/>
  <c r="C115" i="35" s="1"/>
  <c r="D115" i="35" s="1"/>
  <c r="F69" i="1"/>
  <c r="C68" i="1"/>
  <c r="F68" i="1" s="1"/>
  <c r="C67" i="1"/>
  <c r="F67" i="1" s="1"/>
  <c r="C36" i="37" s="1"/>
  <c r="D36" i="37" s="1"/>
  <c r="F66" i="1"/>
  <c r="F65" i="1"/>
  <c r="F64" i="1"/>
  <c r="C134" i="4" s="1"/>
  <c r="D134" i="4" s="1"/>
  <c r="F63" i="1"/>
  <c r="C97" i="4" s="1"/>
  <c r="D97" i="4" s="1"/>
  <c r="F62" i="1"/>
  <c r="F61" i="1"/>
  <c r="C60" i="1"/>
  <c r="F60" i="1" s="1"/>
  <c r="C92" i="36" s="1"/>
  <c r="D92" i="36" s="1"/>
  <c r="F59" i="1"/>
  <c r="C121" i="4" s="1"/>
  <c r="D121" i="4" s="1"/>
  <c r="F58" i="1"/>
  <c r="C96" i="3" s="1"/>
  <c r="D96" i="3" s="1"/>
  <c r="F57" i="1"/>
  <c r="F56" i="1"/>
  <c r="C56" i="4" s="1"/>
  <c r="D56" i="4" s="1"/>
  <c r="C55" i="1"/>
  <c r="F55" i="1" s="1"/>
  <c r="F54" i="1"/>
  <c r="C42" i="7" s="1"/>
  <c r="D42" i="7" s="1"/>
  <c r="F53" i="1"/>
  <c r="F52" i="1"/>
  <c r="F51" i="1"/>
  <c r="C92" i="4" s="1"/>
  <c r="D92" i="4" s="1"/>
  <c r="F50" i="1"/>
  <c r="C62" i="29" s="1"/>
  <c r="D62" i="29" s="1"/>
  <c r="F49" i="1"/>
  <c r="F48" i="1"/>
  <c r="C43" i="33" s="1"/>
  <c r="D43" i="33" s="1"/>
  <c r="F47" i="1"/>
  <c r="C23" i="4" s="1"/>
  <c r="D23" i="4" s="1"/>
  <c r="C46" i="1"/>
  <c r="F46" i="1" s="1"/>
  <c r="C45" i="1"/>
  <c r="F45" i="1" s="1"/>
  <c r="F44" i="1"/>
  <c r="C43" i="1"/>
  <c r="F43" i="1" s="1"/>
  <c r="C127" i="4" s="1"/>
  <c r="D127" i="4" s="1"/>
  <c r="C42" i="1"/>
  <c r="F42" i="1" s="1"/>
  <c r="F41" i="1"/>
  <c r="C40" i="1"/>
  <c r="F40" i="1" s="1"/>
  <c r="F39" i="1"/>
  <c r="F38" i="1"/>
  <c r="F37" i="1"/>
  <c r="C36" i="1"/>
  <c r="F36" i="1" s="1"/>
  <c r="F35" i="1"/>
  <c r="C126" i="4" s="1"/>
  <c r="D126" i="4" s="1"/>
  <c r="F34" i="1"/>
  <c r="C33" i="1"/>
  <c r="F33" i="1" s="1"/>
  <c r="F32" i="1"/>
  <c r="C130" i="4" s="1"/>
  <c r="D130" i="4" s="1"/>
  <c r="F31" i="1"/>
  <c r="C75" i="4" s="1"/>
  <c r="F30" i="1"/>
  <c r="F29" i="1"/>
  <c r="C26" i="14" s="1"/>
  <c r="D26" i="14" s="1"/>
  <c r="F28" i="1"/>
  <c r="C111" i="4" s="1"/>
  <c r="D111" i="4" s="1"/>
  <c r="F27" i="1"/>
  <c r="C9" i="32" s="1"/>
  <c r="D9" i="32" s="1"/>
  <c r="F26" i="1"/>
  <c r="C68" i="26" s="1"/>
  <c r="D68" i="26" s="1"/>
  <c r="F25" i="1"/>
  <c r="F24" i="1"/>
  <c r="C164" i="4" s="1"/>
  <c r="D164" i="4" s="1"/>
  <c r="F23" i="1"/>
  <c r="F22" i="1"/>
  <c r="F21" i="1"/>
  <c r="F20" i="1"/>
  <c r="F19" i="1"/>
  <c r="F18" i="1"/>
  <c r="F17" i="1"/>
  <c r="C6" i="26" s="1"/>
  <c r="D6" i="26" s="1"/>
  <c r="F16" i="1"/>
  <c r="C88" i="3" s="1"/>
  <c r="D88" i="3" s="1"/>
  <c r="F15" i="1"/>
  <c r="C11" i="14" s="1"/>
  <c r="D11" i="14" s="1"/>
  <c r="F14" i="1"/>
  <c r="C114" i="25" s="1"/>
  <c r="D114" i="25" s="1"/>
  <c r="F13" i="1"/>
  <c r="C68" i="10" s="1"/>
  <c r="D68" i="10" s="1"/>
  <c r="F12" i="1"/>
  <c r="C102" i="9" s="1"/>
  <c r="D102" i="9" s="1"/>
  <c r="F11" i="1"/>
  <c r="C76" i="37" s="1"/>
  <c r="D76" i="37" s="1"/>
  <c r="F10" i="1"/>
  <c r="F9" i="1"/>
  <c r="C163" i="25" s="1"/>
  <c r="D163" i="25" s="1"/>
  <c r="F8" i="1"/>
  <c r="C53" i="37" s="1"/>
  <c r="D53" i="37" s="1"/>
  <c r="F7" i="1"/>
  <c r="C33" i="9" s="1"/>
  <c r="D33" i="9" s="1"/>
  <c r="F6" i="1"/>
  <c r="F5" i="1"/>
  <c r="C31" i="7" s="1"/>
  <c r="F4" i="1"/>
  <c r="C54" i="37" s="1"/>
  <c r="D54" i="37" s="1"/>
  <c r="F3" i="1"/>
  <c r="F2" i="1"/>
  <c r="C65" i="37" s="1"/>
  <c r="D65" i="37" s="1"/>
  <c r="C28" i="3" l="1"/>
  <c r="D28" i="3" s="1"/>
  <c r="C82" i="3"/>
  <c r="D82" i="3" s="1"/>
  <c r="C6" i="14"/>
  <c r="D6" i="14" s="1"/>
  <c r="D44" i="3"/>
  <c r="C39" i="27"/>
  <c r="D39" i="27" s="1"/>
  <c r="C60" i="4"/>
  <c r="D60" i="4" s="1"/>
  <c r="C117" i="3"/>
  <c r="D117" i="3" s="1"/>
  <c r="C45" i="10"/>
  <c r="D45" i="10" s="1"/>
  <c r="C38" i="12"/>
  <c r="D38" i="12" s="1"/>
  <c r="C6" i="17"/>
  <c r="D6" i="17" s="1"/>
  <c r="C68" i="3"/>
  <c r="D68" i="3" s="1"/>
  <c r="C30" i="4"/>
  <c r="D30" i="4" s="1"/>
  <c r="C22" i="31"/>
  <c r="D22" i="31" s="1"/>
  <c r="C22" i="2"/>
  <c r="D22" i="2" s="1"/>
  <c r="C13" i="3"/>
  <c r="D13" i="3" s="1"/>
  <c r="C46" i="4"/>
  <c r="D46" i="4" s="1"/>
  <c r="C100" i="4"/>
  <c r="D100" i="4" s="1"/>
  <c r="C165" i="4"/>
  <c r="D165" i="4" s="1"/>
  <c r="D167" i="4" s="1"/>
  <c r="C62" i="7"/>
  <c r="D62" i="7" s="1"/>
  <c r="C49" i="8"/>
  <c r="D49" i="8" s="1"/>
  <c r="C141" i="9"/>
  <c r="D141" i="9" s="1"/>
  <c r="C28" i="10"/>
  <c r="D28" i="10" s="1"/>
  <c r="D29" i="11"/>
  <c r="E29" i="11" s="1"/>
  <c r="C2" i="18"/>
  <c r="D2" i="18" s="1"/>
  <c r="C34" i="3"/>
  <c r="D34" i="3" s="1"/>
  <c r="C106" i="3"/>
  <c r="D106" i="3" s="1"/>
  <c r="C82" i="4"/>
  <c r="D82" i="4" s="1"/>
  <c r="C140" i="4"/>
  <c r="D140" i="4" s="1"/>
  <c r="C23" i="8"/>
  <c r="D23" i="8" s="1"/>
  <c r="C50" i="9"/>
  <c r="D50" i="9" s="1"/>
  <c r="C117" i="9"/>
  <c r="D117" i="9" s="1"/>
  <c r="C61" i="25"/>
  <c r="D61" i="25" s="1"/>
  <c r="C52" i="3"/>
  <c r="D52" i="3" s="1"/>
  <c r="C70" i="3"/>
  <c r="D70" i="3" s="1"/>
  <c r="C63" i="4"/>
  <c r="D63" i="4" s="1"/>
  <c r="C190" i="4"/>
  <c r="D190" i="4" s="1"/>
  <c r="C9" i="6"/>
  <c r="D9" i="6" s="1"/>
  <c r="C44" i="7"/>
  <c r="D44" i="7" s="1"/>
  <c r="C103" i="3"/>
  <c r="D103" i="3" s="1"/>
  <c r="C12" i="4"/>
  <c r="D12" i="4" s="1"/>
  <c r="C105" i="3"/>
  <c r="D105" i="3" s="1"/>
  <c r="C15" i="3"/>
  <c r="D15" i="3" s="1"/>
  <c r="C92" i="9"/>
  <c r="D92" i="9" s="1"/>
  <c r="D31" i="11"/>
  <c r="E31" i="11" s="1"/>
  <c r="C11" i="12"/>
  <c r="D11" i="12" s="1"/>
  <c r="C3" i="18"/>
  <c r="D3" i="18" s="1"/>
  <c r="C43" i="19"/>
  <c r="D43" i="19" s="1"/>
  <c r="C15" i="24"/>
  <c r="D15" i="24" s="1"/>
  <c r="C124" i="3"/>
  <c r="D124" i="3" s="1"/>
  <c r="C187" i="4"/>
  <c r="D187" i="4" s="1"/>
  <c r="C70" i="8"/>
  <c r="D70" i="8" s="1"/>
  <c r="C4" i="4"/>
  <c r="C129" i="4"/>
  <c r="D129" i="4" s="1"/>
  <c r="C71" i="7"/>
  <c r="D71" i="7" s="1"/>
  <c r="C52" i="8"/>
  <c r="D52" i="8" s="1"/>
  <c r="D6" i="11"/>
  <c r="E6" i="11" s="1"/>
  <c r="C16" i="19"/>
  <c r="D16" i="19" s="1"/>
  <c r="C163" i="4"/>
  <c r="D163" i="4" s="1"/>
  <c r="D59" i="10"/>
  <c r="C21" i="7"/>
  <c r="D21" i="7" s="1"/>
  <c r="C17" i="16"/>
  <c r="D17" i="16" s="1"/>
  <c r="C12" i="3"/>
  <c r="D12" i="3" s="1"/>
  <c r="C115" i="3"/>
  <c r="D115" i="3" s="1"/>
  <c r="D22" i="4"/>
  <c r="C48" i="4"/>
  <c r="D48" i="4" s="1"/>
  <c r="C65" i="4"/>
  <c r="D65" i="4" s="1"/>
  <c r="C46" i="7"/>
  <c r="D46" i="7" s="1"/>
  <c r="C4" i="3"/>
  <c r="D4" i="3" s="1"/>
  <c r="C22" i="4"/>
  <c r="C4" i="9"/>
  <c r="D4" i="9" s="1"/>
  <c r="C33" i="10"/>
  <c r="D33" i="10" s="1"/>
  <c r="C59" i="10"/>
  <c r="C116" i="3"/>
  <c r="D116" i="3" s="1"/>
  <c r="C53" i="14"/>
  <c r="C12" i="12"/>
  <c r="D12" i="12" s="1"/>
  <c r="C44" i="3"/>
  <c r="C34" i="10"/>
  <c r="D34" i="10" s="1"/>
  <c r="C14" i="26"/>
  <c r="D14" i="26" s="1"/>
  <c r="C10" i="2"/>
  <c r="D10" i="2" s="1"/>
  <c r="D40" i="4"/>
  <c r="C73" i="4"/>
  <c r="D73" i="4" s="1"/>
  <c r="C5" i="3"/>
  <c r="D5" i="3" s="1"/>
  <c r="C99" i="3"/>
  <c r="D99" i="3" s="1"/>
  <c r="C8" i="4"/>
  <c r="D8" i="4" s="1"/>
  <c r="C40" i="4"/>
  <c r="C113" i="4"/>
  <c r="D113" i="4" s="1"/>
  <c r="C152" i="4"/>
  <c r="D152" i="4" s="1"/>
  <c r="C22" i="7"/>
  <c r="D22" i="7" s="1"/>
  <c r="C49" i="7"/>
  <c r="D49" i="7" s="1"/>
  <c r="C74" i="7"/>
  <c r="D74" i="7" s="1"/>
  <c r="C56" i="8"/>
  <c r="D56" i="8" s="1"/>
  <c r="C39" i="9"/>
  <c r="D39" i="9" s="1"/>
  <c r="C128" i="9"/>
  <c r="D128" i="9" s="1"/>
  <c r="C3" i="12"/>
  <c r="D3" i="12" s="1"/>
  <c r="C54" i="14"/>
  <c r="D54" i="14" s="1"/>
  <c r="C14" i="18"/>
  <c r="D14" i="18" s="1"/>
  <c r="C19" i="19"/>
  <c r="D19" i="19" s="1"/>
  <c r="C26" i="24"/>
  <c r="D26" i="24" s="1"/>
  <c r="C2" i="6"/>
  <c r="D2" i="6" s="1"/>
  <c r="C64" i="9"/>
  <c r="D64" i="9" s="1"/>
  <c r="D3" i="17"/>
  <c r="C47" i="3"/>
  <c r="D47" i="3" s="1"/>
  <c r="C28" i="4"/>
  <c r="D28" i="4" s="1"/>
  <c r="C57" i="7"/>
  <c r="D57" i="7" s="1"/>
  <c r="C38" i="14"/>
  <c r="D38" i="14" s="1"/>
  <c r="C135" i="4"/>
  <c r="D135" i="4" s="1"/>
  <c r="C113" i="9"/>
  <c r="D113" i="9" s="1"/>
  <c r="C62" i="36"/>
  <c r="D62" i="36" s="1"/>
  <c r="D4" i="4"/>
  <c r="C95" i="29"/>
  <c r="D95" i="29" s="1"/>
  <c r="C3" i="30"/>
  <c r="D3" i="30" s="1"/>
  <c r="C5" i="31"/>
  <c r="D5" i="31" s="1"/>
  <c r="C7" i="8"/>
  <c r="D7" i="8" s="1"/>
  <c r="C110" i="4"/>
  <c r="D110" i="4" s="1"/>
  <c r="C45" i="7"/>
  <c r="D45" i="7" s="1"/>
  <c r="C32" i="7"/>
  <c r="D32" i="7" s="1"/>
  <c r="C59" i="7"/>
  <c r="D59" i="7" s="1"/>
  <c r="C70" i="7"/>
  <c r="D70" i="7" s="1"/>
  <c r="C83" i="7"/>
  <c r="D83" i="7" s="1"/>
  <c r="C6" i="7"/>
  <c r="D6" i="7" s="1"/>
  <c r="C115" i="36"/>
  <c r="D115" i="36" s="1"/>
  <c r="C113" i="29"/>
  <c r="D113" i="29" s="1"/>
  <c r="C128" i="4"/>
  <c r="D128" i="4" s="1"/>
  <c r="C60" i="36"/>
  <c r="D60" i="36" s="1"/>
  <c r="C5" i="6"/>
  <c r="D5" i="6" s="1"/>
  <c r="C60" i="29"/>
  <c r="D60" i="29" s="1"/>
  <c r="C52" i="37"/>
  <c r="D52" i="37" s="1"/>
  <c r="C109" i="36"/>
  <c r="D109" i="36" s="1"/>
  <c r="C41" i="36"/>
  <c r="D41" i="36" s="1"/>
  <c r="C41" i="33"/>
  <c r="D41" i="33" s="1"/>
  <c r="C37" i="37"/>
  <c r="D37" i="37" s="1"/>
  <c r="C20" i="37"/>
  <c r="D20" i="37" s="1"/>
  <c r="C3" i="37"/>
  <c r="D3" i="37" s="1"/>
  <c r="C113" i="35"/>
  <c r="D113" i="35" s="1"/>
  <c r="C79" i="35"/>
  <c r="D79" i="35" s="1"/>
  <c r="C63" i="32"/>
  <c r="D63" i="32" s="1"/>
  <c r="C16" i="31"/>
  <c r="D16" i="31" s="1"/>
  <c r="C107" i="29"/>
  <c r="D107" i="29" s="1"/>
  <c r="C22" i="29"/>
  <c r="D22" i="29" s="1"/>
  <c r="C22" i="36"/>
  <c r="D22" i="36" s="1"/>
  <c r="C41" i="28"/>
  <c r="D41" i="28" s="1"/>
  <c r="C41" i="29"/>
  <c r="D41" i="29" s="1"/>
  <c r="C96" i="35"/>
  <c r="D96" i="35" s="1"/>
  <c r="C3" i="35"/>
  <c r="D3" i="35" s="1"/>
  <c r="C41" i="35"/>
  <c r="D41" i="35" s="1"/>
  <c r="C3" i="33"/>
  <c r="D3" i="33" s="1"/>
  <c r="C22" i="28"/>
  <c r="D22" i="28" s="1"/>
  <c r="C22" i="35"/>
  <c r="D22" i="35" s="1"/>
  <c r="C3" i="29"/>
  <c r="D3" i="29" s="1"/>
  <c r="C89" i="25"/>
  <c r="D89" i="25" s="1"/>
  <c r="C60" i="33"/>
  <c r="D60" i="33" s="1"/>
  <c r="C20" i="32"/>
  <c r="D20" i="32" s="1"/>
  <c r="C22" i="33"/>
  <c r="D22" i="33" s="1"/>
  <c r="C60" i="35"/>
  <c r="D60" i="35" s="1"/>
  <c r="C3" i="36"/>
  <c r="D3" i="36" s="1"/>
  <c r="C3" i="32"/>
  <c r="D3" i="32" s="1"/>
  <c r="C158" i="25"/>
  <c r="D158" i="25" s="1"/>
  <c r="C79" i="28"/>
  <c r="D79" i="28" s="1"/>
  <c r="C60" i="28"/>
  <c r="D60" i="28" s="1"/>
  <c r="C151" i="33"/>
  <c r="D151" i="33" s="1"/>
  <c r="C106" i="25"/>
  <c r="D106" i="25" s="1"/>
  <c r="C25" i="10"/>
  <c r="D25" i="10" s="1"/>
  <c r="C20" i="14"/>
  <c r="D20" i="14" s="1"/>
  <c r="C3" i="28"/>
  <c r="D3" i="28" s="1"/>
  <c r="C37" i="14"/>
  <c r="D37" i="14" s="1"/>
  <c r="C43" i="3"/>
  <c r="D43" i="3" s="1"/>
  <c r="C3" i="25"/>
  <c r="D3" i="25" s="1"/>
  <c r="C3" i="4"/>
  <c r="D3" i="4" s="1"/>
  <c r="C3" i="3"/>
  <c r="D3" i="3" s="1"/>
  <c r="C42" i="10"/>
  <c r="D42" i="10" s="1"/>
  <c r="C57" i="4"/>
  <c r="D57" i="4" s="1"/>
  <c r="C61" i="3"/>
  <c r="D61" i="3" s="1"/>
  <c r="C3" i="14"/>
  <c r="D3" i="14" s="1"/>
  <c r="C2" i="10"/>
  <c r="D2" i="10" s="1"/>
  <c r="C74" i="4"/>
  <c r="D74" i="4" s="1"/>
  <c r="C79" i="3"/>
  <c r="D79" i="3" s="1"/>
  <c r="C122" i="4"/>
  <c r="D122" i="4" s="1"/>
  <c r="C97" i="3"/>
  <c r="D97" i="3" s="1"/>
  <c r="C3" i="6"/>
  <c r="D3" i="6" s="1"/>
  <c r="C58" i="10"/>
  <c r="D58" i="10" s="1"/>
  <c r="C39" i="4"/>
  <c r="D39" i="4" s="1"/>
  <c r="C91" i="4"/>
  <c r="D91" i="4" s="1"/>
  <c r="C134" i="36"/>
  <c r="D134" i="36" s="1"/>
  <c r="C96" i="34"/>
  <c r="D96" i="34" s="1"/>
  <c r="C2" i="31"/>
  <c r="D2" i="31" s="1"/>
  <c r="C16" i="7"/>
  <c r="D16" i="7" s="1"/>
  <c r="C79" i="33"/>
  <c r="D79" i="33" s="1"/>
  <c r="C79" i="29"/>
  <c r="D79" i="29" s="1"/>
  <c r="C79" i="36"/>
  <c r="D79" i="36" s="1"/>
  <c r="C161" i="25"/>
  <c r="D161" i="25" s="1"/>
  <c r="C95" i="36"/>
  <c r="D95" i="36" s="1"/>
  <c r="C37" i="16"/>
  <c r="D37" i="16" s="1"/>
  <c r="C2" i="26"/>
  <c r="D2" i="26" s="1"/>
  <c r="C94" i="4"/>
  <c r="D94" i="4" s="1"/>
  <c r="D2" i="11"/>
  <c r="E2" i="11" s="1"/>
  <c r="C24" i="37"/>
  <c r="D24" i="37" s="1"/>
  <c r="C65" i="33"/>
  <c r="D65" i="33" s="1"/>
  <c r="C7" i="25"/>
  <c r="D7" i="25" s="1"/>
  <c r="C27" i="33"/>
  <c r="D27" i="33" s="1"/>
  <c r="C83" i="28"/>
  <c r="D83" i="28" s="1"/>
  <c r="C27" i="36"/>
  <c r="D27" i="36" s="1"/>
  <c r="C8" i="35"/>
  <c r="D8" i="35" s="1"/>
  <c r="C46" i="35"/>
  <c r="D46" i="35" s="1"/>
  <c r="C46" i="28"/>
  <c r="D46" i="28" s="1"/>
  <c r="C27" i="29"/>
  <c r="D27" i="29" s="1"/>
  <c r="C93" i="25"/>
  <c r="D93" i="25" s="1"/>
  <c r="C8" i="28"/>
  <c r="D8" i="28" s="1"/>
  <c r="C101" i="3"/>
  <c r="D101" i="3" s="1"/>
  <c r="C118" i="3"/>
  <c r="D118" i="3" s="1"/>
  <c r="C26" i="4"/>
  <c r="D26" i="4" s="1"/>
  <c r="C48" i="3"/>
  <c r="D48" i="3" s="1"/>
  <c r="C30" i="3"/>
  <c r="D30" i="3" s="1"/>
  <c r="C10" i="3"/>
  <c r="D10" i="3" s="1"/>
  <c r="C63" i="26"/>
  <c r="D63" i="26" s="1"/>
  <c r="C148" i="36"/>
  <c r="D148" i="36" s="1"/>
  <c r="C90" i="33"/>
  <c r="D90" i="33" s="1"/>
  <c r="C78" i="26"/>
  <c r="D78" i="26" s="1"/>
  <c r="C6" i="6"/>
  <c r="D6" i="6" s="1"/>
  <c r="C7" i="37"/>
  <c r="D7" i="37" s="1"/>
  <c r="C119" i="36"/>
  <c r="D119" i="36" s="1"/>
  <c r="C8" i="36"/>
  <c r="D8" i="36" s="1"/>
  <c r="C46" i="36"/>
  <c r="D46" i="36" s="1"/>
  <c r="C24" i="14"/>
  <c r="D24" i="14" s="1"/>
  <c r="C6" i="35"/>
  <c r="D6" i="35" s="1"/>
  <c r="C44" i="35"/>
  <c r="D44" i="35" s="1"/>
  <c r="C44" i="36"/>
  <c r="D44" i="36" s="1"/>
  <c r="C154" i="33"/>
  <c r="D154" i="33" s="1"/>
  <c r="C44" i="29"/>
  <c r="D44" i="29" s="1"/>
  <c r="C6" i="36"/>
  <c r="D6" i="36" s="1"/>
  <c r="C6" i="29"/>
  <c r="D6" i="29" s="1"/>
  <c r="C44" i="33"/>
  <c r="D44" i="33" s="1"/>
  <c r="C6" i="28"/>
  <c r="D6" i="28" s="1"/>
  <c r="C97" i="34"/>
  <c r="D97" i="34" s="1"/>
  <c r="C82" i="35"/>
  <c r="D82" i="35" s="1"/>
  <c r="C6" i="33"/>
  <c r="D6" i="33" s="1"/>
  <c r="C44" i="28"/>
  <c r="D44" i="28" s="1"/>
  <c r="C6" i="4"/>
  <c r="D6" i="4" s="1"/>
  <c r="C42" i="4"/>
  <c r="D42" i="4" s="1"/>
  <c r="C46" i="3"/>
  <c r="D46" i="3" s="1"/>
  <c r="C122" i="3"/>
  <c r="D122" i="3" s="1"/>
  <c r="D75" i="4"/>
  <c r="C66" i="14"/>
  <c r="C82" i="14"/>
  <c r="D82" i="14" s="1"/>
  <c r="C52" i="14"/>
  <c r="D52" i="14" s="1"/>
  <c r="C43" i="4"/>
  <c r="D43" i="4" s="1"/>
  <c r="C7" i="3"/>
  <c r="D7" i="3" s="1"/>
  <c r="C25" i="4"/>
  <c r="D25" i="4" s="1"/>
  <c r="C29" i="3"/>
  <c r="D29" i="3" s="1"/>
  <c r="C63" i="10"/>
  <c r="D63" i="10" s="1"/>
  <c r="C7" i="4"/>
  <c r="D7" i="4" s="1"/>
  <c r="C4" i="31"/>
  <c r="D4" i="31" s="1"/>
  <c r="C58" i="7"/>
  <c r="D58" i="7" s="1"/>
  <c r="C133" i="29"/>
  <c r="D133" i="29" s="1"/>
  <c r="C40" i="37"/>
  <c r="D40" i="37" s="1"/>
  <c r="C40" i="14"/>
  <c r="D40" i="14" s="1"/>
  <c r="C66" i="8"/>
  <c r="D66" i="8" s="1"/>
  <c r="C148" i="4"/>
  <c r="D148" i="4" s="1"/>
  <c r="D77" i="9"/>
  <c r="C72" i="7"/>
  <c r="D72" i="7" s="1"/>
  <c r="C29" i="10"/>
  <c r="D29" i="10" s="1"/>
  <c r="D15" i="11"/>
  <c r="E15" i="11" s="1"/>
  <c r="C77" i="4"/>
  <c r="D77" i="4" s="1"/>
  <c r="C22" i="34"/>
  <c r="D22" i="34" s="1"/>
  <c r="C32" i="34"/>
  <c r="D32" i="34" s="1"/>
  <c r="C12" i="34"/>
  <c r="D12" i="34" s="1"/>
  <c r="C42" i="34"/>
  <c r="D42" i="34" s="1"/>
  <c r="C2" i="34"/>
  <c r="D2" i="34" s="1"/>
  <c r="C114" i="3"/>
  <c r="D114" i="3" s="1"/>
  <c r="C173" i="4"/>
  <c r="D173" i="4" s="1"/>
  <c r="C100" i="35"/>
  <c r="D100" i="35" s="1"/>
  <c r="C83" i="35"/>
  <c r="D83" i="35" s="1"/>
  <c r="C67" i="32"/>
  <c r="D67" i="32" s="1"/>
  <c r="C27" i="35"/>
  <c r="D27" i="35" s="1"/>
  <c r="C65" i="28"/>
  <c r="D65" i="28" s="1"/>
  <c r="C65" i="35"/>
  <c r="D65" i="35" s="1"/>
  <c r="C24" i="32"/>
  <c r="D24" i="32" s="1"/>
  <c r="C7" i="32"/>
  <c r="D7" i="32" s="1"/>
  <c r="C27" i="28"/>
  <c r="D27" i="28" s="1"/>
  <c r="C155" i="33"/>
  <c r="D155" i="33" s="1"/>
  <c r="C84" i="3"/>
  <c r="D84" i="3" s="1"/>
  <c r="C62" i="10"/>
  <c r="D62" i="10" s="1"/>
  <c r="C66" i="3"/>
  <c r="D66" i="3" s="1"/>
  <c r="C7" i="2"/>
  <c r="D7" i="2" s="1"/>
  <c r="C70" i="14"/>
  <c r="D70" i="14" s="1"/>
  <c r="C7" i="14"/>
  <c r="D7" i="14" s="1"/>
  <c r="C46" i="10"/>
  <c r="D46" i="10" s="1"/>
  <c r="C52" i="34"/>
  <c r="D52" i="34" s="1"/>
  <c r="C62" i="34"/>
  <c r="D62" i="34" s="1"/>
  <c r="D66" i="34" s="1"/>
  <c r="C103" i="9"/>
  <c r="D103" i="9" s="1"/>
  <c r="C114" i="9"/>
  <c r="D114" i="9" s="1"/>
  <c r="C25" i="29"/>
  <c r="D25" i="29" s="1"/>
  <c r="C25" i="36"/>
  <c r="D25" i="36" s="1"/>
  <c r="C24" i="4"/>
  <c r="D24" i="4" s="1"/>
  <c r="C61" i="10"/>
  <c r="D61" i="10" s="1"/>
  <c r="C4" i="8"/>
  <c r="D4" i="8" s="1"/>
  <c r="C25" i="3"/>
  <c r="D25" i="3" s="1"/>
  <c r="C121" i="3"/>
  <c r="D121" i="3" s="1"/>
  <c r="C179" i="4"/>
  <c r="D179" i="4" s="1"/>
  <c r="D66" i="14"/>
  <c r="D53" i="14"/>
  <c r="C96" i="4"/>
  <c r="D96" i="4" s="1"/>
  <c r="D83" i="14"/>
  <c r="C5" i="17"/>
  <c r="D5" i="17" s="1"/>
  <c r="C51" i="37"/>
  <c r="D51" i="37" s="1"/>
  <c r="C146" i="25"/>
  <c r="D146" i="25" s="1"/>
  <c r="C41" i="37"/>
  <c r="D41" i="37" s="1"/>
  <c r="C128" i="33"/>
  <c r="D128" i="33" s="1"/>
  <c r="C40" i="27"/>
  <c r="D40" i="27" s="1"/>
  <c r="C137" i="36"/>
  <c r="D137" i="36" s="1"/>
  <c r="C28" i="27"/>
  <c r="D28" i="27" s="1"/>
  <c r="C16" i="27"/>
  <c r="D16" i="27" s="1"/>
  <c r="C4" i="27"/>
  <c r="D4" i="27" s="1"/>
  <c r="C112" i="35"/>
  <c r="D112" i="35" s="1"/>
  <c r="C95" i="35"/>
  <c r="D95" i="35" s="1"/>
  <c r="C38" i="25"/>
  <c r="D38" i="25" s="1"/>
  <c r="C73" i="25"/>
  <c r="D73" i="25" s="1"/>
  <c r="C4" i="2"/>
  <c r="D4" i="2" s="1"/>
  <c r="C6" i="3"/>
  <c r="D6" i="3" s="1"/>
  <c r="C64" i="3"/>
  <c r="D64" i="3" s="1"/>
  <c r="C107" i="4"/>
  <c r="D107" i="4" s="1"/>
  <c r="C13" i="9"/>
  <c r="D13" i="9" s="1"/>
  <c r="C51" i="9"/>
  <c r="D51" i="9" s="1"/>
  <c r="C37" i="12"/>
  <c r="D37" i="12" s="1"/>
  <c r="C23" i="14"/>
  <c r="D23" i="14" s="1"/>
  <c r="C2" i="19"/>
  <c r="D2" i="19" s="1"/>
  <c r="C63" i="25"/>
  <c r="D63" i="25" s="1"/>
  <c r="C162" i="36"/>
  <c r="D162" i="36" s="1"/>
  <c r="C138" i="33"/>
  <c r="D138" i="33" s="1"/>
  <c r="C93" i="29"/>
  <c r="D93" i="29" s="1"/>
  <c r="C30" i="7"/>
  <c r="D30" i="7" s="1"/>
  <c r="C108" i="4"/>
  <c r="D108" i="4" s="1"/>
  <c r="C79" i="4"/>
  <c r="D79" i="4" s="1"/>
  <c r="C47" i="10"/>
  <c r="D47" i="10" s="1"/>
  <c r="C136" i="36"/>
  <c r="D136" i="36" s="1"/>
  <c r="C81" i="32"/>
  <c r="D81" i="32" s="1"/>
  <c r="C149" i="36"/>
  <c r="D149" i="36" s="1"/>
  <c r="C94" i="29"/>
  <c r="D94" i="29" s="1"/>
  <c r="C134" i="29"/>
  <c r="D134" i="29" s="1"/>
  <c r="C109" i="4"/>
  <c r="D109" i="4" s="1"/>
  <c r="C50" i="8"/>
  <c r="D50" i="8" s="1"/>
  <c r="C149" i="4"/>
  <c r="D149" i="4" s="1"/>
  <c r="C37" i="8"/>
  <c r="D37" i="8" s="1"/>
  <c r="C123" i="36"/>
  <c r="D123" i="36" s="1"/>
  <c r="C121" i="29"/>
  <c r="D121" i="29" s="1"/>
  <c r="C66" i="26"/>
  <c r="D66" i="26" s="1"/>
  <c r="C21" i="36"/>
  <c r="D21" i="36" s="1"/>
  <c r="C21" i="29"/>
  <c r="D21" i="29" s="1"/>
  <c r="C20" i="4"/>
  <c r="D20" i="4" s="1"/>
  <c r="C99" i="35"/>
  <c r="D99" i="35" s="1"/>
  <c r="C104" i="3"/>
  <c r="D104" i="3" s="1"/>
  <c r="C51" i="8"/>
  <c r="D51" i="8" s="1"/>
  <c r="C89" i="9"/>
  <c r="D89" i="9" s="1"/>
  <c r="C116" i="9"/>
  <c r="D116" i="9" s="1"/>
  <c r="C8" i="14"/>
  <c r="D8" i="14" s="1"/>
  <c r="C129" i="25"/>
  <c r="D129" i="25" s="1"/>
  <c r="C148" i="25"/>
  <c r="D148" i="25" s="1"/>
  <c r="C80" i="28"/>
  <c r="D80" i="28" s="1"/>
  <c r="C135" i="36"/>
  <c r="D135" i="36" s="1"/>
  <c r="C126" i="33"/>
  <c r="D126" i="33" s="1"/>
  <c r="C78" i="35"/>
  <c r="D78" i="35" s="1"/>
  <c r="C21" i="33"/>
  <c r="D21" i="33" s="1"/>
  <c r="C19" i="32"/>
  <c r="D19" i="32" s="1"/>
  <c r="C15" i="31"/>
  <c r="D15" i="31" s="1"/>
  <c r="C19" i="37"/>
  <c r="D19" i="37" s="1"/>
  <c r="C2" i="37"/>
  <c r="D2" i="37" s="1"/>
  <c r="C2" i="35"/>
  <c r="D2" i="35" s="1"/>
  <c r="C2" i="36"/>
  <c r="D2" i="36" s="1"/>
  <c r="C40" i="35"/>
  <c r="D40" i="35" s="1"/>
  <c r="C59" i="33"/>
  <c r="D59" i="33" s="1"/>
  <c r="C62" i="32"/>
  <c r="D62" i="32" s="1"/>
  <c r="C78" i="28"/>
  <c r="D78" i="28" s="1"/>
  <c r="C40" i="33"/>
  <c r="D40" i="33" s="1"/>
  <c r="C2" i="33"/>
  <c r="D2" i="33" s="1"/>
  <c r="C2" i="28"/>
  <c r="D2" i="28" s="1"/>
  <c r="C21" i="28"/>
  <c r="D21" i="28" s="1"/>
  <c r="C150" i="33"/>
  <c r="D150" i="33" s="1"/>
  <c r="C40" i="29"/>
  <c r="D40" i="29" s="1"/>
  <c r="C59" i="28"/>
  <c r="D59" i="28" s="1"/>
  <c r="C21" i="35"/>
  <c r="D21" i="35" s="1"/>
  <c r="C2" i="29"/>
  <c r="D2" i="29" s="1"/>
  <c r="C88" i="25"/>
  <c r="D88" i="25" s="1"/>
  <c r="C2" i="25"/>
  <c r="D2" i="25" s="1"/>
  <c r="C57" i="10"/>
  <c r="D57" i="10" s="1"/>
  <c r="C59" i="35"/>
  <c r="D59" i="35" s="1"/>
  <c r="C40" i="36"/>
  <c r="D40" i="36" s="1"/>
  <c r="C2" i="14"/>
  <c r="D2" i="14" s="1"/>
  <c r="C105" i="25"/>
  <c r="D105" i="25" s="1"/>
  <c r="C24" i="10"/>
  <c r="D24" i="10" s="1"/>
  <c r="C60" i="3"/>
  <c r="D60" i="3" s="1"/>
  <c r="C81" i="14"/>
  <c r="D81" i="14" s="1"/>
  <c r="C41" i="10"/>
  <c r="D41" i="10" s="1"/>
  <c r="C40" i="28"/>
  <c r="D40" i="28" s="1"/>
  <c r="C67" i="14"/>
  <c r="D67" i="14" s="1"/>
  <c r="C2" i="12"/>
  <c r="D2" i="12" s="1"/>
  <c r="C22" i="8"/>
  <c r="D22" i="8" s="1"/>
  <c r="C87" i="14"/>
  <c r="D87" i="14" s="1"/>
  <c r="C108" i="34"/>
  <c r="D108" i="34" s="1"/>
  <c r="C26" i="27"/>
  <c r="D26" i="27" s="1"/>
  <c r="C38" i="27"/>
  <c r="D38" i="27" s="1"/>
  <c r="C23" i="2"/>
  <c r="D23" i="2" s="1"/>
  <c r="C65" i="3"/>
  <c r="D65" i="3" s="1"/>
  <c r="C85" i="3"/>
  <c r="D85" i="3" s="1"/>
  <c r="C147" i="4"/>
  <c r="D147" i="4" s="1"/>
  <c r="C176" i="4"/>
  <c r="D176" i="4" s="1"/>
  <c r="C52" i="9"/>
  <c r="D52" i="9" s="1"/>
  <c r="C26" i="10"/>
  <c r="D26" i="10" s="1"/>
  <c r="C25" i="14"/>
  <c r="D25" i="14" s="1"/>
  <c r="C41" i="14"/>
  <c r="D41" i="14" s="1"/>
  <c r="C55" i="14"/>
  <c r="D55" i="14" s="1"/>
  <c r="C19" i="16"/>
  <c r="D19" i="16" s="1"/>
  <c r="C79" i="32"/>
  <c r="D79" i="32" s="1"/>
  <c r="C48" i="8"/>
  <c r="D48" i="8" s="1"/>
  <c r="C33" i="24"/>
  <c r="D33" i="24" s="1"/>
  <c r="C13" i="24"/>
  <c r="D13" i="24" s="1"/>
  <c r="C23" i="24"/>
  <c r="D23" i="24" s="1"/>
  <c r="C22" i="9"/>
  <c r="D22" i="9" s="1"/>
  <c r="C78" i="3"/>
  <c r="D78" i="3" s="1"/>
  <c r="C80" i="4"/>
  <c r="D80" i="4" s="1"/>
  <c r="C60" i="7"/>
  <c r="D60" i="7" s="1"/>
  <c r="C65" i="8"/>
  <c r="D65" i="8" s="1"/>
  <c r="C2" i="9"/>
  <c r="D2" i="9" s="1"/>
  <c r="C28" i="18"/>
  <c r="D28" i="18" s="1"/>
  <c r="C71" i="14"/>
  <c r="D71" i="14" s="1"/>
  <c r="C2" i="30"/>
  <c r="D2" i="30" s="1"/>
  <c r="C69" i="7"/>
  <c r="D69" i="7" s="1"/>
  <c r="C9" i="3"/>
  <c r="D9" i="3" s="1"/>
  <c r="C86" i="3"/>
  <c r="D86" i="3" s="1"/>
  <c r="C62" i="4"/>
  <c r="D62" i="4" s="1"/>
  <c r="C73" i="7"/>
  <c r="D73" i="7" s="1"/>
  <c r="C40" i="8"/>
  <c r="D40" i="8" s="1"/>
  <c r="C78" i="9"/>
  <c r="D78" i="9" s="1"/>
  <c r="C15" i="10"/>
  <c r="D15" i="10" s="1"/>
  <c r="D3" i="11"/>
  <c r="E3" i="11" s="1"/>
  <c r="D17" i="11"/>
  <c r="E17" i="11" s="1"/>
  <c r="C8" i="16"/>
  <c r="D8" i="16" s="1"/>
  <c r="C38" i="16"/>
  <c r="D38" i="16" s="1"/>
  <c r="C14" i="24"/>
  <c r="D14" i="24" s="1"/>
  <c r="C109" i="34"/>
  <c r="D109" i="34" s="1"/>
  <c r="C3" i="27"/>
  <c r="D3" i="27" s="1"/>
  <c r="C51" i="27"/>
  <c r="D51" i="27" s="1"/>
  <c r="C121" i="34"/>
  <c r="D121" i="34" s="1"/>
  <c r="C133" i="34"/>
  <c r="D133" i="34" s="1"/>
  <c r="C145" i="34"/>
  <c r="D145" i="34" s="1"/>
  <c r="C15" i="27"/>
  <c r="D15" i="27" s="1"/>
  <c r="C111" i="25"/>
  <c r="C91" i="33"/>
  <c r="D91" i="33" s="1"/>
  <c r="C53" i="26"/>
  <c r="D53" i="26" s="1"/>
  <c r="C40" i="26"/>
  <c r="D40" i="26" s="1"/>
  <c r="C78" i="25"/>
  <c r="D78" i="25" s="1"/>
  <c r="C128" i="25"/>
  <c r="D128" i="25" s="1"/>
  <c r="C26" i="25"/>
  <c r="D26" i="25" s="1"/>
  <c r="C44" i="25"/>
  <c r="D44" i="25" s="1"/>
  <c r="C79" i="26"/>
  <c r="D79" i="26" s="1"/>
  <c r="C26" i="37"/>
  <c r="D26" i="37" s="1"/>
  <c r="C9" i="37"/>
  <c r="D9" i="37" s="1"/>
  <c r="C66" i="36"/>
  <c r="D66" i="36" s="1"/>
  <c r="C122" i="36"/>
  <c r="D122" i="36" s="1"/>
  <c r="C10" i="35"/>
  <c r="D10" i="35" s="1"/>
  <c r="C157" i="33"/>
  <c r="D157" i="33" s="1"/>
  <c r="C26" i="32"/>
  <c r="D26" i="32" s="1"/>
  <c r="C48" i="28"/>
  <c r="D48" i="28" s="1"/>
  <c r="C29" i="36"/>
  <c r="D29" i="36" s="1"/>
  <c r="C85" i="35"/>
  <c r="D85" i="35" s="1"/>
  <c r="C48" i="35"/>
  <c r="D48" i="35" s="1"/>
  <c r="C67" i="35"/>
  <c r="D67" i="35" s="1"/>
  <c r="C10" i="28"/>
  <c r="D10" i="28" s="1"/>
  <c r="C48" i="33"/>
  <c r="D48" i="33" s="1"/>
  <c r="C29" i="28"/>
  <c r="D29" i="28" s="1"/>
  <c r="C10" i="33"/>
  <c r="D10" i="33" s="1"/>
  <c r="C120" i="29"/>
  <c r="D120" i="29" s="1"/>
  <c r="C29" i="29"/>
  <c r="D29" i="29" s="1"/>
  <c r="C67" i="28"/>
  <c r="D67" i="28" s="1"/>
  <c r="C112" i="25"/>
  <c r="C69" i="32"/>
  <c r="D69" i="32" s="1"/>
  <c r="C48" i="29"/>
  <c r="D48" i="29" s="1"/>
  <c r="C10" i="29"/>
  <c r="D10" i="29" s="1"/>
  <c r="C48" i="36"/>
  <c r="D48" i="36" s="1"/>
  <c r="C9" i="25"/>
  <c r="D9" i="25" s="1"/>
  <c r="C29" i="35"/>
  <c r="D29" i="35" s="1"/>
  <c r="C67" i="33"/>
  <c r="D67" i="33" s="1"/>
  <c r="C10" i="36"/>
  <c r="D10" i="36" s="1"/>
  <c r="C66" i="29"/>
  <c r="D66" i="29" s="1"/>
  <c r="C9" i="14"/>
  <c r="D9" i="14" s="1"/>
  <c r="C95" i="25"/>
  <c r="D95" i="25" s="1"/>
  <c r="C50" i="3"/>
  <c r="D50" i="3" s="1"/>
  <c r="C32" i="3"/>
  <c r="D32" i="3" s="1"/>
  <c r="C147" i="36"/>
  <c r="D147" i="36" s="1"/>
  <c r="C161" i="36"/>
  <c r="D161" i="36" s="1"/>
  <c r="C98" i="34"/>
  <c r="D98" i="34" s="1"/>
  <c r="C5" i="12"/>
  <c r="D5" i="12" s="1"/>
  <c r="C146" i="34"/>
  <c r="D146" i="34" s="1"/>
  <c r="C122" i="34"/>
  <c r="D122" i="34" s="1"/>
  <c r="C64" i="27"/>
  <c r="D64" i="27" s="1"/>
  <c r="C52" i="27"/>
  <c r="D52" i="27" s="1"/>
  <c r="C134" i="34"/>
  <c r="D134" i="34" s="1"/>
  <c r="C110" i="34"/>
  <c r="D110" i="34" s="1"/>
  <c r="C32" i="9"/>
  <c r="D32" i="9" s="1"/>
  <c r="C74" i="9"/>
  <c r="D74" i="9" s="1"/>
  <c r="C46" i="9"/>
  <c r="D46" i="9" s="1"/>
  <c r="C67" i="26"/>
  <c r="D67" i="26" s="1"/>
  <c r="C164" i="25"/>
  <c r="D164" i="25" s="1"/>
  <c r="C76" i="36"/>
  <c r="D76" i="36" s="1"/>
  <c r="C76" i="29"/>
  <c r="D76" i="29" s="1"/>
  <c r="C6" i="12"/>
  <c r="D6" i="12" s="1"/>
  <c r="C84" i="32"/>
  <c r="D84" i="32" s="1"/>
  <c r="C53" i="8"/>
  <c r="D53" i="8" s="1"/>
  <c r="C20" i="8"/>
  <c r="D20" i="8" s="1"/>
  <c r="D26" i="8" s="1"/>
  <c r="C35" i="8"/>
  <c r="D35" i="8" s="1"/>
  <c r="C98" i="3"/>
  <c r="D98" i="3" s="1"/>
  <c r="C81" i="4"/>
  <c r="D81" i="4" s="1"/>
  <c r="C105" i="9"/>
  <c r="D105" i="9" s="1"/>
  <c r="C43" i="14"/>
  <c r="D43" i="14" s="1"/>
  <c r="C5" i="19"/>
  <c r="D5" i="19" s="1"/>
  <c r="D42" i="29"/>
  <c r="C6" i="8"/>
  <c r="D6" i="8" s="1"/>
  <c r="C67" i="8"/>
  <c r="D67" i="8" s="1"/>
  <c r="C72" i="14"/>
  <c r="D72" i="14" s="1"/>
  <c r="C55" i="25"/>
  <c r="D55" i="25" s="1"/>
  <c r="C85" i="28"/>
  <c r="D85" i="28" s="1"/>
  <c r="D124" i="28"/>
  <c r="C124" i="28"/>
  <c r="C9" i="35"/>
  <c r="D9" i="35" s="1"/>
  <c r="C156" i="33"/>
  <c r="D156" i="33" s="1"/>
  <c r="C9" i="36"/>
  <c r="D9" i="36" s="1"/>
  <c r="C117" i="35"/>
  <c r="D117" i="35" s="1"/>
  <c r="C66" i="35"/>
  <c r="D66" i="35" s="1"/>
  <c r="C150" i="36"/>
  <c r="D150" i="36" s="1"/>
  <c r="C47" i="35"/>
  <c r="D47" i="35" s="1"/>
  <c r="C81" i="36"/>
  <c r="D81" i="36" s="1"/>
  <c r="C47" i="36"/>
  <c r="D47" i="36" s="1"/>
  <c r="C47" i="33"/>
  <c r="D47" i="33" s="1"/>
  <c r="C140" i="33"/>
  <c r="D140" i="33" s="1"/>
  <c r="C80" i="33"/>
  <c r="D80" i="33" s="1"/>
  <c r="C92" i="33"/>
  <c r="D92" i="33" s="1"/>
  <c r="C66" i="33"/>
  <c r="D66" i="33" s="1"/>
  <c r="C8" i="37"/>
  <c r="D8" i="37" s="1"/>
  <c r="C25" i="32"/>
  <c r="D25" i="32" s="1"/>
  <c r="C28" i="29"/>
  <c r="D28" i="29" s="1"/>
  <c r="C65" i="36"/>
  <c r="D65" i="36" s="1"/>
  <c r="C47" i="28"/>
  <c r="D47" i="28" s="1"/>
  <c r="C55" i="37"/>
  <c r="D55" i="37" s="1"/>
  <c r="C28" i="33"/>
  <c r="D28" i="33" s="1"/>
  <c r="C65" i="29"/>
  <c r="D65" i="29" s="1"/>
  <c r="C28" i="36"/>
  <c r="D28" i="36" s="1"/>
  <c r="C25" i="37"/>
  <c r="D25" i="37" s="1"/>
  <c r="C80" i="26"/>
  <c r="D80" i="26" s="1"/>
  <c r="C101" i="35"/>
  <c r="D101" i="35" s="1"/>
  <c r="C81" i="29"/>
  <c r="D81" i="29" s="1"/>
  <c r="C9" i="28"/>
  <c r="D9" i="28" s="1"/>
  <c r="C165" i="25"/>
  <c r="D165" i="25" s="1"/>
  <c r="C120" i="36"/>
  <c r="D120" i="36" s="1"/>
  <c r="C9" i="33"/>
  <c r="D9" i="33" s="1"/>
  <c r="C21" i="31"/>
  <c r="D21" i="31" s="1"/>
  <c r="C84" i="35"/>
  <c r="D84" i="35" s="1"/>
  <c r="C66" i="28"/>
  <c r="D66" i="28" s="1"/>
  <c r="C118" i="29"/>
  <c r="D118" i="29" s="1"/>
  <c r="C47" i="29"/>
  <c r="D47" i="29" s="1"/>
  <c r="C68" i="32"/>
  <c r="D68" i="32" s="1"/>
  <c r="C9" i="29"/>
  <c r="D9" i="29" s="1"/>
  <c r="C97" i="36"/>
  <c r="D97" i="36" s="1"/>
  <c r="C84" i="28"/>
  <c r="D84" i="28" s="1"/>
  <c r="C28" i="35"/>
  <c r="D28" i="35" s="1"/>
  <c r="C94" i="25"/>
  <c r="D94" i="25" s="1"/>
  <c r="C3" i="26"/>
  <c r="D3" i="26" s="1"/>
  <c r="D14" i="11"/>
  <c r="E14" i="11" s="1"/>
  <c r="C69" i="26"/>
  <c r="D69" i="26" s="1"/>
  <c r="C14" i="10"/>
  <c r="D14" i="10" s="1"/>
  <c r="C27" i="4"/>
  <c r="D27" i="4" s="1"/>
  <c r="C67" i="3"/>
  <c r="D67" i="3" s="1"/>
  <c r="C8" i="2"/>
  <c r="D8" i="2" s="1"/>
  <c r="C28" i="28"/>
  <c r="D28" i="28" s="1"/>
  <c r="C31" i="10"/>
  <c r="D31" i="10" s="1"/>
  <c r="C3" i="10"/>
  <c r="D3" i="10" s="1"/>
  <c r="C7" i="6"/>
  <c r="D7" i="6" s="1"/>
  <c r="C49" i="3"/>
  <c r="D49" i="3" s="1"/>
  <c r="C65" i="10"/>
  <c r="D65" i="10" s="1"/>
  <c r="C118" i="36"/>
  <c r="D118" i="36" s="1"/>
  <c r="C116" i="29"/>
  <c r="D116" i="29" s="1"/>
  <c r="C75" i="37"/>
  <c r="D75" i="37" s="1"/>
  <c r="C75" i="9"/>
  <c r="D75" i="9" s="1"/>
  <c r="C47" i="9"/>
  <c r="D47" i="9" s="1"/>
  <c r="C125" i="9"/>
  <c r="D125" i="9" s="1"/>
  <c r="C61" i="9"/>
  <c r="D61" i="9" s="1"/>
  <c r="C4" i="10"/>
  <c r="D4" i="10" s="1"/>
  <c r="C28" i="25"/>
  <c r="D28" i="25" s="1"/>
  <c r="C63" i="27"/>
  <c r="D63" i="27" s="1"/>
  <c r="C74" i="34"/>
  <c r="D74" i="34" s="1"/>
  <c r="C86" i="34"/>
  <c r="D86" i="34" s="1"/>
  <c r="C8" i="32"/>
  <c r="D8" i="32" s="1"/>
  <c r="C39" i="26"/>
  <c r="D39" i="26" s="1"/>
  <c r="C52" i="26"/>
  <c r="D52" i="26" s="1"/>
  <c r="C98" i="35"/>
  <c r="D98" i="35" s="1"/>
  <c r="C112" i="29"/>
  <c r="D112" i="29" s="1"/>
  <c r="C114" i="36"/>
  <c r="D114" i="36" s="1"/>
  <c r="C136" i="4"/>
  <c r="D136" i="4" s="1"/>
  <c r="C36" i="9"/>
  <c r="D36" i="9" s="1"/>
  <c r="C8" i="25"/>
  <c r="D8" i="25" s="1"/>
  <c r="C59" i="36"/>
  <c r="D59" i="36" s="1"/>
  <c r="C59" i="29"/>
  <c r="D59" i="29" s="1"/>
  <c r="C104" i="33"/>
  <c r="D104" i="33" s="1"/>
  <c r="C108" i="32"/>
  <c r="D108" i="32" s="1"/>
  <c r="C96" i="32"/>
  <c r="D96" i="32" s="1"/>
  <c r="C40" i="17"/>
  <c r="D40" i="17" s="1"/>
  <c r="C27" i="26"/>
  <c r="D27" i="26" s="1"/>
  <c r="C15" i="26"/>
  <c r="D15" i="26" s="1"/>
  <c r="C116" i="33"/>
  <c r="D116" i="33" s="1"/>
  <c r="C123" i="32"/>
  <c r="D123" i="32" s="1"/>
  <c r="C14" i="30"/>
  <c r="D14" i="30" s="1"/>
  <c r="C40" i="19"/>
  <c r="D40" i="19" s="1"/>
  <c r="C4" i="17"/>
  <c r="D4" i="17" s="1"/>
  <c r="C16" i="18"/>
  <c r="D16" i="18" s="1"/>
  <c r="C6" i="16"/>
  <c r="D6" i="16" s="1"/>
  <c r="C25" i="30"/>
  <c r="D25" i="30" s="1"/>
  <c r="C36" i="16"/>
  <c r="D36" i="16" s="1"/>
  <c r="C40" i="18"/>
  <c r="D40" i="18" s="1"/>
  <c r="C28" i="17"/>
  <c r="D28" i="17" s="1"/>
  <c r="C24" i="12"/>
  <c r="D24" i="12" s="1"/>
  <c r="C4" i="19"/>
  <c r="D4" i="19" s="1"/>
  <c r="C28" i="19"/>
  <c r="D28" i="19" s="1"/>
  <c r="C4" i="18"/>
  <c r="D4" i="18" s="1"/>
  <c r="C153" i="32"/>
  <c r="D153" i="32" s="1"/>
  <c r="C38" i="30"/>
  <c r="D38" i="30" s="1"/>
  <c r="C170" i="32"/>
  <c r="D170" i="32" s="1"/>
  <c r="C136" i="32"/>
  <c r="D136" i="32" s="1"/>
  <c r="C43" i="37"/>
  <c r="D43" i="37" s="1"/>
  <c r="C68" i="36"/>
  <c r="D68" i="36" s="1"/>
  <c r="C136" i="34"/>
  <c r="D136" i="34" s="1"/>
  <c r="C42" i="32"/>
  <c r="D42" i="32" s="1"/>
  <c r="C124" i="34"/>
  <c r="D124" i="34" s="1"/>
  <c r="C100" i="36"/>
  <c r="D100" i="36" s="1"/>
  <c r="C78" i="37"/>
  <c r="D78" i="37" s="1"/>
  <c r="C57" i="37"/>
  <c r="D57" i="37" s="1"/>
  <c r="C139" i="36"/>
  <c r="D139" i="36" s="1"/>
  <c r="C67" i="37"/>
  <c r="D67" i="37" s="1"/>
  <c r="C7" i="31"/>
  <c r="D7" i="31" s="1"/>
  <c r="C88" i="34"/>
  <c r="D88" i="34" s="1"/>
  <c r="C24" i="34"/>
  <c r="D24" i="34" s="1"/>
  <c r="C55" i="30"/>
  <c r="D55" i="30" s="1"/>
  <c r="C130" i="33"/>
  <c r="D130" i="33" s="1"/>
  <c r="C83" i="26"/>
  <c r="D83" i="26" s="1"/>
  <c r="C5" i="26"/>
  <c r="D5" i="26" s="1"/>
  <c r="C149" i="25"/>
  <c r="D149" i="25" s="1"/>
  <c r="D151" i="25" s="1"/>
  <c r="C153" i="36"/>
  <c r="D153" i="36" s="1"/>
  <c r="C14" i="34"/>
  <c r="D14" i="34" s="1"/>
  <c r="C142" i="33"/>
  <c r="D142" i="33" s="1"/>
  <c r="C5" i="30"/>
  <c r="D5" i="30" s="1"/>
  <c r="C30" i="27"/>
  <c r="D30" i="27" s="1"/>
  <c r="C166" i="36"/>
  <c r="D166" i="36" s="1"/>
  <c r="C112" i="34"/>
  <c r="D112" i="34" s="1"/>
  <c r="C100" i="34"/>
  <c r="D100" i="34" s="1"/>
  <c r="C16" i="30"/>
  <c r="D16" i="30" s="1"/>
  <c r="C68" i="29"/>
  <c r="D68" i="29" s="1"/>
  <c r="C27" i="30"/>
  <c r="D27" i="30" s="1"/>
  <c r="C137" i="29"/>
  <c r="D137" i="29" s="1"/>
  <c r="C119" i="35"/>
  <c r="D119" i="35" s="1"/>
  <c r="C64" i="34"/>
  <c r="D64" i="34" s="1"/>
  <c r="C34" i="34"/>
  <c r="D34" i="34" s="1"/>
  <c r="C4" i="34"/>
  <c r="D4" i="34" s="1"/>
  <c r="C54" i="27"/>
  <c r="D54" i="27" s="1"/>
  <c r="C70" i="26"/>
  <c r="D70" i="26" s="1"/>
  <c r="C94" i="33"/>
  <c r="D94" i="33" s="1"/>
  <c r="C84" i="29"/>
  <c r="D84" i="29" s="1"/>
  <c r="C29" i="26"/>
  <c r="D29" i="26" s="1"/>
  <c r="C54" i="34"/>
  <c r="D54" i="34" s="1"/>
  <c r="C5" i="24"/>
  <c r="D5" i="24" s="1"/>
  <c r="C106" i="33"/>
  <c r="D106" i="33" s="1"/>
  <c r="C125" i="32"/>
  <c r="D125" i="32" s="1"/>
  <c r="C118" i="33"/>
  <c r="D118" i="33" s="1"/>
  <c r="C148" i="34"/>
  <c r="D148" i="34" s="1"/>
  <c r="C98" i="32"/>
  <c r="D98" i="32" s="1"/>
  <c r="C55" i="26"/>
  <c r="D55" i="26" s="1"/>
  <c r="C84" i="36"/>
  <c r="D84" i="36" s="1"/>
  <c r="C44" i="34"/>
  <c r="D44" i="34" s="1"/>
  <c r="C176" i="32"/>
  <c r="D176" i="32" s="1"/>
  <c r="C66" i="27"/>
  <c r="D66" i="27" s="1"/>
  <c r="C82" i="33"/>
  <c r="D82" i="33" s="1"/>
  <c r="C110" i="32"/>
  <c r="D110" i="32" s="1"/>
  <c r="C18" i="27"/>
  <c r="D18" i="27" s="1"/>
  <c r="C6" i="27"/>
  <c r="D6" i="27" s="1"/>
  <c r="C42" i="26"/>
  <c r="D42" i="26" s="1"/>
  <c r="C6" i="18"/>
  <c r="D6" i="18" s="1"/>
  <c r="C18" i="19"/>
  <c r="D18" i="19" s="1"/>
  <c r="C44" i="30"/>
  <c r="D44" i="30" s="1"/>
  <c r="C80" i="25"/>
  <c r="D80" i="25" s="1"/>
  <c r="C21" i="16"/>
  <c r="D21" i="16" s="1"/>
  <c r="C54" i="32"/>
  <c r="D54" i="32" s="1"/>
  <c r="C142" i="32"/>
  <c r="D142" i="32" s="1"/>
  <c r="C130" i="25"/>
  <c r="D130" i="25" s="1"/>
  <c r="C25" i="24"/>
  <c r="D25" i="24" s="1"/>
  <c r="C18" i="17"/>
  <c r="D18" i="17" s="1"/>
  <c r="C76" i="34"/>
  <c r="D76" i="34" s="1"/>
  <c r="C18" i="18"/>
  <c r="D18" i="18" s="1"/>
  <c r="C130" i="9"/>
  <c r="D130" i="9" s="1"/>
  <c r="C140" i="9"/>
  <c r="D140" i="9" s="1"/>
  <c r="C80" i="9"/>
  <c r="D80" i="9" s="1"/>
  <c r="C38" i="9"/>
  <c r="D38" i="9" s="1"/>
  <c r="C6" i="19"/>
  <c r="D6" i="19" s="1"/>
  <c r="C40" i="16"/>
  <c r="D40" i="16" s="1"/>
  <c r="C66" i="9"/>
  <c r="D66" i="9" s="1"/>
  <c r="C48" i="7"/>
  <c r="D48" i="7" s="1"/>
  <c r="D30" i="11"/>
  <c r="E30" i="11" s="1"/>
  <c r="E32" i="11" s="1"/>
  <c r="C99" i="4"/>
  <c r="D99" i="4" s="1"/>
  <c r="C26" i="12"/>
  <c r="D26" i="12" s="1"/>
  <c r="C14" i="9"/>
  <c r="D14" i="9" s="1"/>
  <c r="D16" i="9" s="1"/>
  <c r="C86" i="7"/>
  <c r="D86" i="7" s="1"/>
  <c r="C42" i="27"/>
  <c r="D42" i="27" s="1"/>
  <c r="C40" i="12"/>
  <c r="D40" i="12" s="1"/>
  <c r="D5" i="11"/>
  <c r="E5" i="11" s="1"/>
  <c r="C24" i="9"/>
  <c r="D24" i="9" s="1"/>
  <c r="C9" i="8"/>
  <c r="D9" i="8" s="1"/>
  <c r="C46" i="25"/>
  <c r="D46" i="25" s="1"/>
  <c r="C73" i="14"/>
  <c r="D73" i="14" s="1"/>
  <c r="C24" i="8"/>
  <c r="D24" i="8" s="1"/>
  <c r="C61" i="7"/>
  <c r="D61" i="7" s="1"/>
  <c r="D63" i="7" s="1"/>
  <c r="C157" i="25"/>
  <c r="D157" i="25" s="1"/>
  <c r="C24" i="30"/>
  <c r="D24" i="30" s="1"/>
  <c r="C2" i="17"/>
  <c r="D2" i="17" s="1"/>
  <c r="C106" i="32"/>
  <c r="D106" i="32" s="1"/>
  <c r="C25" i="26"/>
  <c r="D25" i="26" s="1"/>
  <c r="C102" i="33"/>
  <c r="D102" i="33" s="1"/>
  <c r="C13" i="30"/>
  <c r="D13" i="30" s="1"/>
  <c r="C13" i="26"/>
  <c r="D13" i="26" s="1"/>
  <c r="C26" i="19"/>
  <c r="D26" i="19" s="1"/>
  <c r="C14" i="19"/>
  <c r="D14" i="19" s="1"/>
  <c r="C114" i="33"/>
  <c r="D114" i="33" s="1"/>
  <c r="C14" i="17"/>
  <c r="D14" i="17" s="1"/>
  <c r="C26" i="18"/>
  <c r="D26" i="18" s="1"/>
  <c r="C26" i="17"/>
  <c r="D26" i="17" s="1"/>
  <c r="C13" i="10"/>
  <c r="D13" i="10" s="1"/>
  <c r="C73" i="34"/>
  <c r="D73" i="34" s="1"/>
  <c r="C37" i="26"/>
  <c r="D37" i="26" s="1"/>
  <c r="C50" i="26"/>
  <c r="D50" i="26" s="1"/>
  <c r="C83" i="3"/>
  <c r="D83" i="3" s="1"/>
  <c r="C19" i="2"/>
  <c r="D19" i="2" s="1"/>
  <c r="D24" i="2" s="1"/>
  <c r="C42" i="3"/>
  <c r="D42" i="3" s="1"/>
  <c r="D54" i="3" s="1"/>
  <c r="C80" i="3"/>
  <c r="D80" i="3" s="1"/>
  <c r="C120" i="3"/>
  <c r="D120" i="3" s="1"/>
  <c r="C189" i="4"/>
  <c r="D189" i="4" s="1"/>
  <c r="C94" i="36"/>
  <c r="D94" i="36" s="1"/>
  <c r="C23" i="35"/>
  <c r="D23" i="35" s="1"/>
  <c r="C4" i="36"/>
  <c r="D4" i="36" s="1"/>
  <c r="C61" i="35"/>
  <c r="D61" i="35" s="1"/>
  <c r="C4" i="33"/>
  <c r="D4" i="33" s="1"/>
  <c r="C64" i="32"/>
  <c r="D64" i="32" s="1"/>
  <c r="C78" i="29"/>
  <c r="D78" i="29" s="1"/>
  <c r="C61" i="29"/>
  <c r="C78" i="36"/>
  <c r="C42" i="36"/>
  <c r="D42" i="36" s="1"/>
  <c r="C4" i="37"/>
  <c r="C61" i="33"/>
  <c r="D61" i="33" s="1"/>
  <c r="C61" i="36"/>
  <c r="C42" i="33"/>
  <c r="D42" i="33" s="1"/>
  <c r="C108" i="29"/>
  <c r="D108" i="29" s="1"/>
  <c r="C4" i="28"/>
  <c r="D4" i="28" s="1"/>
  <c r="C80" i="35"/>
  <c r="D80" i="35" s="1"/>
  <c r="C17" i="31"/>
  <c r="C23" i="28"/>
  <c r="C42" i="28"/>
  <c r="D42" i="28" s="1"/>
  <c r="C23" i="29"/>
  <c r="D23" i="29" s="1"/>
  <c r="C61" i="28"/>
  <c r="D61" i="28" s="1"/>
  <c r="C110" i="36"/>
  <c r="C42" i="29"/>
  <c r="C23" i="33"/>
  <c r="C23" i="36"/>
  <c r="D23" i="36" s="1"/>
  <c r="C21" i="37"/>
  <c r="D21" i="37" s="1"/>
  <c r="C114" i="35"/>
  <c r="D114" i="35" s="1"/>
  <c r="C4" i="32"/>
  <c r="D4" i="32" s="1"/>
  <c r="C38" i="37"/>
  <c r="D38" i="37" s="1"/>
  <c r="C97" i="35"/>
  <c r="C42" i="35"/>
  <c r="C4" i="35"/>
  <c r="D4" i="35" s="1"/>
  <c r="C21" i="32"/>
  <c r="D21" i="32" s="1"/>
  <c r="C4" i="29"/>
  <c r="C159" i="25"/>
  <c r="D159" i="25" s="1"/>
  <c r="C90" i="25"/>
  <c r="C4" i="14"/>
  <c r="D4" i="14" s="1"/>
  <c r="C43" i="10"/>
  <c r="D43" i="10" s="1"/>
  <c r="C26" i="3"/>
  <c r="D26" i="3" s="1"/>
  <c r="C107" i="25"/>
  <c r="D107" i="25" s="1"/>
  <c r="C152" i="33"/>
  <c r="C21" i="14"/>
  <c r="D21" i="14" s="1"/>
  <c r="C4" i="25"/>
  <c r="D4" i="25" s="1"/>
  <c r="C112" i="36"/>
  <c r="D112" i="36" s="1"/>
  <c r="C23" i="37"/>
  <c r="D23" i="37" s="1"/>
  <c r="C82" i="28"/>
  <c r="D82" i="28" s="1"/>
  <c r="C25" i="33"/>
  <c r="D25" i="33" s="1"/>
  <c r="C6" i="37"/>
  <c r="D6" i="37" s="1"/>
  <c r="C66" i="32"/>
  <c r="D66" i="32" s="1"/>
  <c r="C63" i="28"/>
  <c r="D63" i="28" s="1"/>
  <c r="C63" i="35"/>
  <c r="D63" i="35" s="1"/>
  <c r="C110" i="29"/>
  <c r="D110" i="29" s="1"/>
  <c r="C92" i="25"/>
  <c r="D92" i="25" s="1"/>
  <c r="C64" i="26"/>
  <c r="D64" i="26" s="1"/>
  <c r="C25" i="28"/>
  <c r="D25" i="28" s="1"/>
  <c r="C25" i="35"/>
  <c r="D25" i="35" s="1"/>
  <c r="C6" i="25"/>
  <c r="D6" i="25" s="1"/>
  <c r="C85" i="14"/>
  <c r="D85" i="14" s="1"/>
  <c r="C23" i="32"/>
  <c r="D23" i="32" s="1"/>
  <c r="C63" i="33"/>
  <c r="D63" i="33" s="1"/>
  <c r="C125" i="4"/>
  <c r="D125" i="4" s="1"/>
  <c r="C100" i="3"/>
  <c r="D100" i="3" s="1"/>
  <c r="C109" i="25"/>
  <c r="D109" i="25" s="1"/>
  <c r="C13" i="34"/>
  <c r="D13" i="34" s="1"/>
  <c r="C129" i="33"/>
  <c r="D129" i="33" s="1"/>
  <c r="C158" i="32"/>
  <c r="D158" i="32" s="1"/>
  <c r="C124" i="32"/>
  <c r="D124" i="32" s="1"/>
  <c r="C109" i="32"/>
  <c r="D109" i="32" s="1"/>
  <c r="C26" i="30"/>
  <c r="D26" i="30" s="1"/>
  <c r="C97" i="29"/>
  <c r="D97" i="29" s="1"/>
  <c r="C87" i="34"/>
  <c r="D87" i="34" s="1"/>
  <c r="C23" i="34"/>
  <c r="D23" i="34" s="1"/>
  <c r="C54" i="30"/>
  <c r="D54" i="30" s="1"/>
  <c r="C152" i="36"/>
  <c r="D152" i="36" s="1"/>
  <c r="C83" i="36"/>
  <c r="D83" i="36" s="1"/>
  <c r="C63" i="34"/>
  <c r="D63" i="34" s="1"/>
  <c r="C111" i="34"/>
  <c r="D111" i="34" s="1"/>
  <c r="C93" i="33"/>
  <c r="D93" i="33" s="1"/>
  <c r="C147" i="34"/>
  <c r="D147" i="34" s="1"/>
  <c r="C99" i="34"/>
  <c r="D99" i="34" s="1"/>
  <c r="C141" i="32"/>
  <c r="D141" i="32" s="1"/>
  <c r="C105" i="33"/>
  <c r="D105" i="33" s="1"/>
  <c r="C175" i="32"/>
  <c r="D175" i="32" s="1"/>
  <c r="C31" i="28"/>
  <c r="D31" i="28" s="1"/>
  <c r="C41" i="27"/>
  <c r="D41" i="27" s="1"/>
  <c r="C54" i="26"/>
  <c r="D54" i="26" s="1"/>
  <c r="C125" i="36"/>
  <c r="D125" i="36" s="1"/>
  <c r="C31" i="36"/>
  <c r="D31" i="36" s="1"/>
  <c r="C43" i="34"/>
  <c r="D43" i="34" s="1"/>
  <c r="C117" i="33"/>
  <c r="D117" i="33" s="1"/>
  <c r="C23" i="31"/>
  <c r="D23" i="31" s="1"/>
  <c r="C86" i="35"/>
  <c r="D86" i="35" s="1"/>
  <c r="C70" i="32"/>
  <c r="D70" i="32" s="1"/>
  <c r="C138" i="36"/>
  <c r="D138" i="36" s="1"/>
  <c r="C31" i="35"/>
  <c r="D31" i="35" s="1"/>
  <c r="C12" i="33"/>
  <c r="D12" i="33" s="1"/>
  <c r="C82" i="26"/>
  <c r="D82" i="26" s="1"/>
  <c r="C165" i="36"/>
  <c r="D165" i="36" s="1"/>
  <c r="C99" i="36"/>
  <c r="D99" i="36" s="1"/>
  <c r="C50" i="36"/>
  <c r="D50" i="36" s="1"/>
  <c r="C118" i="35"/>
  <c r="D118" i="35" s="1"/>
  <c r="C56" i="37"/>
  <c r="D56" i="37" s="1"/>
  <c r="C42" i="37"/>
  <c r="D42" i="37" s="1"/>
  <c r="C27" i="37"/>
  <c r="D27" i="37" s="1"/>
  <c r="C12" i="36"/>
  <c r="D12" i="36" s="1"/>
  <c r="C6" i="31"/>
  <c r="D6" i="31" s="1"/>
  <c r="C31" i="29"/>
  <c r="D31" i="29" s="1"/>
  <c r="C66" i="37"/>
  <c r="D66" i="37" s="1"/>
  <c r="C141" i="33"/>
  <c r="D141" i="33" s="1"/>
  <c r="C12" i="28"/>
  <c r="D12" i="28" s="1"/>
  <c r="C111" i="26"/>
  <c r="D111" i="26" s="1"/>
  <c r="C41" i="19"/>
  <c r="D41" i="19" s="1"/>
  <c r="C20" i="16"/>
  <c r="D20" i="16" s="1"/>
  <c r="C123" i="34"/>
  <c r="D123" i="34" s="1"/>
  <c r="C50" i="33"/>
  <c r="D50" i="33" s="1"/>
  <c r="C10" i="32"/>
  <c r="D10" i="32" s="1"/>
  <c r="C77" i="37"/>
  <c r="D77" i="37" s="1"/>
  <c r="C75" i="34"/>
  <c r="D75" i="34" s="1"/>
  <c r="C3" i="34"/>
  <c r="D3" i="34" s="1"/>
  <c r="C12" i="35"/>
  <c r="D12" i="35" s="1"/>
  <c r="C53" i="34"/>
  <c r="D53" i="34" s="1"/>
  <c r="C135" i="34"/>
  <c r="D135" i="34" s="1"/>
  <c r="C43" i="30"/>
  <c r="D43" i="30" s="1"/>
  <c r="C4" i="30"/>
  <c r="D4" i="30" s="1"/>
  <c r="C69" i="28"/>
  <c r="D69" i="28" s="1"/>
  <c r="C50" i="29"/>
  <c r="D50" i="29" s="1"/>
  <c r="C12" i="29"/>
  <c r="D12" i="29" s="1"/>
  <c r="C4" i="26"/>
  <c r="D4" i="26" s="1"/>
  <c r="C85" i="32"/>
  <c r="D85" i="32" s="1"/>
  <c r="C79" i="25"/>
  <c r="D79" i="25" s="1"/>
  <c r="C10" i="25"/>
  <c r="D10" i="25" s="1"/>
  <c r="C34" i="24"/>
  <c r="D34" i="24" s="1"/>
  <c r="C67" i="36"/>
  <c r="D67" i="36" s="1"/>
  <c r="C158" i="33"/>
  <c r="D158" i="33" s="1"/>
  <c r="C69" i="33"/>
  <c r="D69" i="33" s="1"/>
  <c r="C31" i="33"/>
  <c r="D31" i="33" s="1"/>
  <c r="C97" i="32"/>
  <c r="D97" i="32" s="1"/>
  <c r="C67" i="29"/>
  <c r="D67" i="29" s="1"/>
  <c r="C86" i="28"/>
  <c r="D86" i="28" s="1"/>
  <c r="C69" i="35"/>
  <c r="D69" i="35" s="1"/>
  <c r="C27" i="32"/>
  <c r="D27" i="32" s="1"/>
  <c r="C41" i="32"/>
  <c r="D41" i="32" s="1"/>
  <c r="C81" i="33"/>
  <c r="D81" i="33" s="1"/>
  <c r="C28" i="26"/>
  <c r="D28" i="26" s="1"/>
  <c r="C113" i="25"/>
  <c r="D113" i="25" s="1"/>
  <c r="C4" i="24"/>
  <c r="D4" i="24" s="1"/>
  <c r="C29" i="19"/>
  <c r="D29" i="19" s="1"/>
  <c r="C5" i="27"/>
  <c r="D5" i="27" s="1"/>
  <c r="C101" i="26"/>
  <c r="D101" i="26" s="1"/>
  <c r="C41" i="26"/>
  <c r="D41" i="26" s="1"/>
  <c r="C39" i="16"/>
  <c r="D39" i="16" s="1"/>
  <c r="C89" i="14"/>
  <c r="D89" i="14" s="1"/>
  <c r="C10" i="37"/>
  <c r="D10" i="37" s="1"/>
  <c r="C103" i="35"/>
  <c r="D103" i="35" s="1"/>
  <c r="C5" i="18"/>
  <c r="D5" i="18" s="1"/>
  <c r="C56" i="14"/>
  <c r="D56" i="14" s="1"/>
  <c r="C136" i="29"/>
  <c r="D136" i="29" s="1"/>
  <c r="C50" i="35"/>
  <c r="D50" i="35" s="1"/>
  <c r="C15" i="30"/>
  <c r="D15" i="30" s="1"/>
  <c r="C96" i="25"/>
  <c r="D96" i="25" s="1"/>
  <c r="C29" i="17"/>
  <c r="D29" i="17" s="1"/>
  <c r="C17" i="27"/>
  <c r="D17" i="27" s="1"/>
  <c r="C29" i="18"/>
  <c r="D29" i="18" s="1"/>
  <c r="C25" i="12"/>
  <c r="D25" i="12" s="1"/>
  <c r="C29" i="27"/>
  <c r="D29" i="27" s="1"/>
  <c r="D4" i="11"/>
  <c r="E4" i="11" s="1"/>
  <c r="C32" i="10"/>
  <c r="D32" i="10" s="1"/>
  <c r="C65" i="9"/>
  <c r="D65" i="9" s="1"/>
  <c r="C53" i="32"/>
  <c r="D53" i="32" s="1"/>
  <c r="C123" i="29"/>
  <c r="D123" i="29" s="1"/>
  <c r="C83" i="29"/>
  <c r="D83" i="29" s="1"/>
  <c r="C53" i="27"/>
  <c r="D53" i="27" s="1"/>
  <c r="C62" i="25"/>
  <c r="D62" i="25" s="1"/>
  <c r="C41" i="17"/>
  <c r="D41" i="17" s="1"/>
  <c r="C67" i="10"/>
  <c r="D67" i="10" s="1"/>
  <c r="C92" i="26"/>
  <c r="D92" i="26" s="1"/>
  <c r="C27" i="14"/>
  <c r="D27" i="14" s="1"/>
  <c r="C39" i="12"/>
  <c r="D39" i="12" s="1"/>
  <c r="C16" i="26"/>
  <c r="D16" i="26" s="1"/>
  <c r="C45" i="25"/>
  <c r="D45" i="25" s="1"/>
  <c r="C65" i="27"/>
  <c r="D65" i="27" s="1"/>
  <c r="C33" i="34"/>
  <c r="D33" i="34" s="1"/>
  <c r="C50" i="28"/>
  <c r="D50" i="28" s="1"/>
  <c r="C27" i="25"/>
  <c r="D27" i="25" s="1"/>
  <c r="C24" i="24"/>
  <c r="D24" i="24" s="1"/>
  <c r="C7" i="16"/>
  <c r="D7" i="16" s="1"/>
  <c r="C69" i="8"/>
  <c r="D69" i="8" s="1"/>
  <c r="C33" i="3"/>
  <c r="D33" i="3" s="1"/>
  <c r="C41" i="18"/>
  <c r="D41" i="18" s="1"/>
  <c r="C104" i="9"/>
  <c r="D104" i="9" s="1"/>
  <c r="C93" i="9"/>
  <c r="D93" i="9" s="1"/>
  <c r="C20" i="7"/>
  <c r="D20" i="7" s="1"/>
  <c r="C14" i="3"/>
  <c r="D14" i="3" s="1"/>
  <c r="C115" i="9"/>
  <c r="D115" i="9" s="1"/>
  <c r="D118" i="9" s="1"/>
  <c r="C37" i="9"/>
  <c r="D37" i="9" s="1"/>
  <c r="C3" i="9"/>
  <c r="D3" i="9" s="1"/>
  <c r="C39" i="8"/>
  <c r="D39" i="8" s="1"/>
  <c r="C47" i="7"/>
  <c r="D47" i="7" s="1"/>
  <c r="C138" i="4"/>
  <c r="D138" i="4" s="1"/>
  <c r="C10" i="14"/>
  <c r="D10" i="14" s="1"/>
  <c r="D16" i="11"/>
  <c r="E16" i="11" s="1"/>
  <c r="C48" i="10"/>
  <c r="D48" i="10" s="1"/>
  <c r="C17" i="17"/>
  <c r="D17" i="17" s="1"/>
  <c r="C33" i="7"/>
  <c r="D33" i="7" s="1"/>
  <c r="C121" i="32"/>
  <c r="D121" i="32" s="1"/>
  <c r="C4" i="16"/>
  <c r="D4" i="16" s="1"/>
  <c r="C34" i="16"/>
  <c r="D34" i="16" s="1"/>
  <c r="C36" i="12"/>
  <c r="D36" i="12" s="1"/>
  <c r="C8" i="12"/>
  <c r="D8" i="12" s="1"/>
  <c r="C139" i="33"/>
  <c r="D139" i="33" s="1"/>
  <c r="C132" i="34"/>
  <c r="D132" i="34" s="1"/>
  <c r="C51" i="26"/>
  <c r="D51" i="26" s="1"/>
  <c r="C50" i="27"/>
  <c r="D50" i="27" s="1"/>
  <c r="C72" i="25"/>
  <c r="D72" i="25" s="1"/>
  <c r="C20" i="25"/>
  <c r="D20" i="25" s="1"/>
  <c r="C2" i="3"/>
  <c r="D2" i="3" s="1"/>
  <c r="C188" i="4"/>
  <c r="D188" i="4" s="1"/>
  <c r="C9" i="4"/>
  <c r="D9" i="4" s="1"/>
  <c r="C51" i="36"/>
  <c r="D51" i="36" s="1"/>
  <c r="C51" i="33"/>
  <c r="D51" i="33" s="1"/>
  <c r="C32" i="35"/>
  <c r="D32" i="35" s="1"/>
  <c r="C32" i="36"/>
  <c r="D32" i="36" s="1"/>
  <c r="C13" i="35"/>
  <c r="D13" i="35" s="1"/>
  <c r="C13" i="36"/>
  <c r="D13" i="36" s="1"/>
  <c r="C13" i="33"/>
  <c r="D13" i="33" s="1"/>
  <c r="C51" i="29"/>
  <c r="D51" i="29" s="1"/>
  <c r="C13" i="28"/>
  <c r="D13" i="28" s="1"/>
  <c r="C30" i="18"/>
  <c r="D30" i="18" s="1"/>
  <c r="C32" i="28"/>
  <c r="D32" i="28" s="1"/>
  <c r="C51" i="35"/>
  <c r="D51" i="35" s="1"/>
  <c r="C51" i="28"/>
  <c r="D51" i="28" s="1"/>
  <c r="C32" i="29"/>
  <c r="D32" i="29" s="1"/>
  <c r="C13" i="29"/>
  <c r="D13" i="29" s="1"/>
  <c r="C70" i="33"/>
  <c r="D70" i="33" s="1"/>
  <c r="C32" i="33"/>
  <c r="D32" i="33" s="1"/>
  <c r="C42" i="18"/>
  <c r="D42" i="18" s="1"/>
  <c r="C30" i="19"/>
  <c r="D30" i="19" s="1"/>
  <c r="C42" i="19"/>
  <c r="D42" i="19" s="1"/>
  <c r="C30" i="17"/>
  <c r="D30" i="17" s="1"/>
  <c r="C42" i="17"/>
  <c r="D42" i="17" s="1"/>
  <c r="C119" i="29"/>
  <c r="D119" i="29" s="1"/>
  <c r="C121" i="36"/>
  <c r="D121" i="36" s="1"/>
  <c r="C41" i="25"/>
  <c r="D41" i="25" s="1"/>
  <c r="C23" i="25"/>
  <c r="D23" i="25" s="1"/>
  <c r="C58" i="25"/>
  <c r="D58" i="25" s="1"/>
  <c r="C75" i="25"/>
  <c r="D75" i="25" s="1"/>
  <c r="C2" i="4"/>
  <c r="D2" i="4" s="1"/>
  <c r="C45" i="4"/>
  <c r="D45" i="4" s="1"/>
  <c r="C93" i="4"/>
  <c r="D93" i="4" s="1"/>
  <c r="C123" i="4"/>
  <c r="D123" i="4" s="1"/>
  <c r="C8" i="6"/>
  <c r="D8" i="6" s="1"/>
  <c r="C66" i="10"/>
  <c r="D66" i="10" s="1"/>
  <c r="C87" i="35"/>
  <c r="D87" i="35" s="1"/>
  <c r="C28" i="32"/>
  <c r="D28" i="32" s="1"/>
  <c r="C11" i="32"/>
  <c r="D11" i="32" s="1"/>
  <c r="C24" i="31"/>
  <c r="D24" i="31" s="1"/>
  <c r="C71" i="32"/>
  <c r="D71" i="32" s="1"/>
  <c r="C28" i="37"/>
  <c r="D28" i="37" s="1"/>
  <c r="C11" i="37"/>
  <c r="D11" i="37" s="1"/>
  <c r="C159" i="33"/>
  <c r="D159" i="33" s="1"/>
  <c r="C87" i="28"/>
  <c r="D87" i="28" s="1"/>
  <c r="C57" i="14"/>
  <c r="D57" i="14" s="1"/>
  <c r="C86" i="32"/>
  <c r="D86" i="32" s="1"/>
  <c r="C28" i="14"/>
  <c r="D28" i="14" s="1"/>
  <c r="C49" i="10"/>
  <c r="D49" i="10" s="1"/>
  <c r="C55" i="8"/>
  <c r="D55" i="8" s="1"/>
  <c r="C11" i="25"/>
  <c r="D11" i="25" s="1"/>
  <c r="C97" i="25"/>
  <c r="D97" i="25" s="1"/>
  <c r="C43" i="35"/>
  <c r="D43" i="35" s="1"/>
  <c r="C43" i="36"/>
  <c r="D43" i="36" s="1"/>
  <c r="C81" i="35"/>
  <c r="D81" i="35" s="1"/>
  <c r="C22" i="32"/>
  <c r="D22" i="32" s="1"/>
  <c r="C18" i="31"/>
  <c r="D18" i="31" s="1"/>
  <c r="C153" i="33"/>
  <c r="D153" i="33" s="1"/>
  <c r="C39" i="37"/>
  <c r="D39" i="37" s="1"/>
  <c r="C22" i="37"/>
  <c r="D22" i="37" s="1"/>
  <c r="C5" i="37"/>
  <c r="D5" i="37" s="1"/>
  <c r="C5" i="33"/>
  <c r="D5" i="33" s="1"/>
  <c r="C24" i="28"/>
  <c r="D24" i="28" s="1"/>
  <c r="C81" i="28"/>
  <c r="D81" i="28" s="1"/>
  <c r="C5" i="36"/>
  <c r="D5" i="36" s="1"/>
  <c r="C5" i="35"/>
  <c r="D5" i="35" s="1"/>
  <c r="C43" i="28"/>
  <c r="D43" i="28" s="1"/>
  <c r="C108" i="25"/>
  <c r="D108" i="25" s="1"/>
  <c r="C91" i="25"/>
  <c r="D91" i="25" s="1"/>
  <c r="C65" i="32"/>
  <c r="D65" i="32" s="1"/>
  <c r="C62" i="28"/>
  <c r="D62" i="28" s="1"/>
  <c r="C5" i="29"/>
  <c r="D5" i="29" s="1"/>
  <c r="C24" i="35"/>
  <c r="D24" i="35" s="1"/>
  <c r="C62" i="33"/>
  <c r="D62" i="33" s="1"/>
  <c r="C62" i="35"/>
  <c r="D62" i="35" s="1"/>
  <c r="C5" i="25"/>
  <c r="D5" i="25" s="1"/>
  <c r="C43" i="29"/>
  <c r="D43" i="29" s="1"/>
  <c r="C68" i="14"/>
  <c r="D68" i="14" s="1"/>
  <c r="C5" i="28"/>
  <c r="D5" i="28" s="1"/>
  <c r="C60" i="10"/>
  <c r="D60" i="10" s="1"/>
  <c r="C5" i="4"/>
  <c r="D5" i="4" s="1"/>
  <c r="C22" i="14"/>
  <c r="D22" i="14" s="1"/>
  <c r="C84" i="14"/>
  <c r="D84" i="14" s="1"/>
  <c r="C27" i="10"/>
  <c r="D27" i="10" s="1"/>
  <c r="C115" i="33"/>
  <c r="D115" i="33" s="1"/>
  <c r="C95" i="32"/>
  <c r="D95" i="32" s="1"/>
  <c r="D100" i="32" s="1"/>
  <c r="C107" i="32"/>
  <c r="D107" i="32" s="1"/>
  <c r="C3" i="19"/>
  <c r="D3" i="19" s="1"/>
  <c r="C26" i="26"/>
  <c r="D26" i="26" s="1"/>
  <c r="C103" i="33"/>
  <c r="D103" i="33" s="1"/>
  <c r="C15" i="17"/>
  <c r="D15" i="17" s="1"/>
  <c r="C27" i="18"/>
  <c r="D27" i="18" s="1"/>
  <c r="C15" i="19"/>
  <c r="D15" i="19" s="1"/>
  <c r="C27" i="17"/>
  <c r="D27" i="17" s="1"/>
  <c r="C27" i="19"/>
  <c r="D27" i="19" s="1"/>
  <c r="C2" i="27"/>
  <c r="D2" i="27" s="1"/>
  <c r="C14" i="27"/>
  <c r="D14" i="27" s="1"/>
  <c r="C22" i="25"/>
  <c r="D22" i="25" s="1"/>
  <c r="C74" i="25"/>
  <c r="D74" i="25" s="1"/>
  <c r="C57" i="25"/>
  <c r="D57" i="25" s="1"/>
  <c r="C40" i="25"/>
  <c r="D40" i="25" s="1"/>
  <c r="C11" i="3"/>
  <c r="D11" i="3" s="1"/>
  <c r="C69" i="3"/>
  <c r="D69" i="3" s="1"/>
  <c r="C10" i="4"/>
  <c r="D10" i="4" s="1"/>
  <c r="C64" i="4"/>
  <c r="D64" i="4" s="1"/>
  <c r="C112" i="4"/>
  <c r="D112" i="4" s="1"/>
  <c r="C43" i="7"/>
  <c r="D43" i="7" s="1"/>
  <c r="C21" i="8"/>
  <c r="D21" i="8" s="1"/>
  <c r="C23" i="9"/>
  <c r="D23" i="9" s="1"/>
  <c r="C94" i="9"/>
  <c r="D94" i="9" s="1"/>
  <c r="C5" i="10"/>
  <c r="D5" i="10" s="1"/>
  <c r="C30" i="10"/>
  <c r="D30" i="10" s="1"/>
  <c r="C10" i="12"/>
  <c r="D10" i="12" s="1"/>
  <c r="C90" i="14"/>
  <c r="D90" i="14" s="1"/>
  <c r="C15" i="18"/>
  <c r="D15" i="18" s="1"/>
  <c r="D20" i="18" s="1"/>
  <c r="C127" i="33"/>
  <c r="D127" i="33" s="1"/>
  <c r="C68" i="33"/>
  <c r="D68" i="33" s="1"/>
  <c r="C124" i="36"/>
  <c r="D124" i="36" s="1"/>
  <c r="C49" i="35"/>
  <c r="D49" i="35" s="1"/>
  <c r="C49" i="36"/>
  <c r="D49" i="36" s="1"/>
  <c r="C30" i="35"/>
  <c r="D30" i="35" s="1"/>
  <c r="C30" i="36"/>
  <c r="D30" i="36" s="1"/>
  <c r="C30" i="33"/>
  <c r="D30" i="33" s="1"/>
  <c r="C11" i="35"/>
  <c r="D11" i="35" s="1"/>
  <c r="C30" i="28"/>
  <c r="D30" i="28" s="1"/>
  <c r="C11" i="36"/>
  <c r="D11" i="36" s="1"/>
  <c r="C11" i="28"/>
  <c r="D11" i="28" s="1"/>
  <c r="C122" i="29"/>
  <c r="D122" i="29" s="1"/>
  <c r="C11" i="33"/>
  <c r="D11" i="33" s="1"/>
  <c r="C49" i="28"/>
  <c r="D49" i="28" s="1"/>
  <c r="C68" i="28"/>
  <c r="D68" i="28" s="1"/>
  <c r="C49" i="29"/>
  <c r="D49" i="29" s="1"/>
  <c r="C49" i="33"/>
  <c r="D49" i="33" s="1"/>
  <c r="C11" i="29"/>
  <c r="D11" i="29" s="1"/>
  <c r="C68" i="35"/>
  <c r="D68" i="35" s="1"/>
  <c r="C30" i="29"/>
  <c r="D30" i="29" s="1"/>
  <c r="C85" i="34"/>
  <c r="D85" i="34" s="1"/>
  <c r="C92" i="29"/>
  <c r="D92" i="29" s="1"/>
  <c r="C163" i="36"/>
  <c r="D163" i="36" s="1"/>
  <c r="C77" i="34"/>
  <c r="D77" i="34" s="1"/>
  <c r="C125" i="34"/>
  <c r="D125" i="34" s="1"/>
  <c r="C137" i="34"/>
  <c r="D137" i="34" s="1"/>
  <c r="C89" i="34"/>
  <c r="D89" i="34" s="1"/>
  <c r="C101" i="34"/>
  <c r="D101" i="34" s="1"/>
  <c r="C113" i="34"/>
  <c r="D113" i="34" s="1"/>
  <c r="C55" i="27"/>
  <c r="D55" i="27" s="1"/>
  <c r="C7" i="27"/>
  <c r="D7" i="27" s="1"/>
  <c r="C31" i="27"/>
  <c r="D31" i="27" s="1"/>
  <c r="C149" i="34"/>
  <c r="D149" i="34" s="1"/>
  <c r="C67" i="27"/>
  <c r="D67" i="27" s="1"/>
  <c r="C43" i="26"/>
  <c r="D43" i="26" s="1"/>
  <c r="C106" i="29"/>
  <c r="D106" i="29" s="1"/>
  <c r="C108" i="36"/>
  <c r="D108" i="36" s="1"/>
  <c r="C20" i="12"/>
  <c r="D20" i="12" s="1"/>
  <c r="C96" i="29"/>
  <c r="D96" i="29" s="1"/>
  <c r="C151" i="36"/>
  <c r="D151" i="36" s="1"/>
  <c r="C102" i="35"/>
  <c r="D102" i="35" s="1"/>
  <c r="C137" i="4"/>
  <c r="D137" i="4" s="1"/>
  <c r="C117" i="36"/>
  <c r="D117" i="36" s="1"/>
  <c r="C115" i="29"/>
  <c r="D115" i="29" s="1"/>
  <c r="C164" i="36"/>
  <c r="D164" i="36" s="1"/>
  <c r="C98" i="36"/>
  <c r="D98" i="36" s="1"/>
  <c r="C82" i="29"/>
  <c r="D82" i="29" s="1"/>
  <c r="C82" i="36"/>
  <c r="D82" i="36" s="1"/>
  <c r="C122" i="32"/>
  <c r="D122" i="32" s="1"/>
  <c r="C35" i="16"/>
  <c r="D35" i="16" s="1"/>
  <c r="C5" i="16"/>
  <c r="D5" i="16" s="1"/>
  <c r="C91" i="9"/>
  <c r="D91" i="9" s="1"/>
  <c r="C127" i="9"/>
  <c r="D127" i="9" s="1"/>
  <c r="D132" i="9" s="1"/>
  <c r="C9" i="12"/>
  <c r="D9" i="12" s="1"/>
  <c r="C63" i="9"/>
  <c r="D63" i="9" s="1"/>
  <c r="C23" i="12"/>
  <c r="D23" i="12" s="1"/>
  <c r="C62" i="27"/>
  <c r="D62" i="27" s="1"/>
  <c r="C144" i="34"/>
  <c r="D144" i="34" s="1"/>
  <c r="C169" i="32"/>
  <c r="D169" i="32" s="1"/>
  <c r="C152" i="32"/>
  <c r="D152" i="32" s="1"/>
  <c r="C135" i="32"/>
  <c r="D135" i="32" s="1"/>
  <c r="C37" i="30"/>
  <c r="D37" i="30" s="1"/>
  <c r="C135" i="29"/>
  <c r="D135" i="29" s="1"/>
  <c r="C68" i="8"/>
  <c r="D68" i="8" s="1"/>
  <c r="C87" i="3"/>
  <c r="D87" i="3" s="1"/>
  <c r="C79" i="9"/>
  <c r="D79" i="9" s="1"/>
  <c r="C17" i="7"/>
  <c r="D17" i="7" s="1"/>
  <c r="C29" i="7"/>
  <c r="D29" i="7" s="1"/>
  <c r="C54" i="8"/>
  <c r="D54" i="8" s="1"/>
  <c r="C24" i="36"/>
  <c r="D24" i="36" s="1"/>
  <c r="C24" i="33"/>
  <c r="D24" i="33" s="1"/>
  <c r="C24" i="29"/>
  <c r="D24" i="29" s="1"/>
  <c r="C137" i="32"/>
  <c r="D137" i="32" s="1"/>
  <c r="C154" i="32"/>
  <c r="D154" i="32" s="1"/>
  <c r="C39" i="30"/>
  <c r="D39" i="30" s="1"/>
  <c r="C171" i="32"/>
  <c r="D171" i="32" s="1"/>
  <c r="C38" i="4"/>
  <c r="D38" i="4" s="1"/>
  <c r="C26" i="35"/>
  <c r="D26" i="35" s="1"/>
  <c r="C26" i="36"/>
  <c r="D26" i="36" s="1"/>
  <c r="C7" i="36"/>
  <c r="D7" i="36" s="1"/>
  <c r="C64" i="35"/>
  <c r="D64" i="35" s="1"/>
  <c r="C7" i="33"/>
  <c r="D7" i="33" s="1"/>
  <c r="C64" i="33"/>
  <c r="D64" i="33" s="1"/>
  <c r="C116" i="36"/>
  <c r="D116" i="36" s="1"/>
  <c r="C45" i="35"/>
  <c r="D45" i="35" s="1"/>
  <c r="C45" i="29"/>
  <c r="D45" i="29" s="1"/>
  <c r="C7" i="29"/>
  <c r="D7" i="29" s="1"/>
  <c r="C7" i="28"/>
  <c r="D7" i="28" s="1"/>
  <c r="C45" i="33"/>
  <c r="D45" i="33" s="1"/>
  <c r="C64" i="28"/>
  <c r="D64" i="28" s="1"/>
  <c r="C45" i="36"/>
  <c r="D45" i="36" s="1"/>
  <c r="C26" i="33"/>
  <c r="D26" i="33" s="1"/>
  <c r="C114" i="29"/>
  <c r="D114" i="29" s="1"/>
  <c r="C7" i="35"/>
  <c r="D7" i="35" s="1"/>
  <c r="C45" i="28"/>
  <c r="D45" i="28" s="1"/>
  <c r="C26" i="28"/>
  <c r="D26" i="28" s="1"/>
  <c r="C26" i="29"/>
  <c r="D26" i="29" s="1"/>
  <c r="C160" i="25"/>
  <c r="D160" i="25" s="1"/>
  <c r="C39" i="14"/>
  <c r="D39" i="14" s="1"/>
  <c r="D45" i="14" s="1"/>
  <c r="C51" i="32"/>
  <c r="D51" i="32" s="1"/>
  <c r="C72" i="34"/>
  <c r="D72" i="34" s="1"/>
  <c r="C40" i="32"/>
  <c r="D40" i="32" s="1"/>
  <c r="C172" i="32"/>
  <c r="D172" i="32" s="1"/>
  <c r="C40" i="30"/>
  <c r="D40" i="30" s="1"/>
  <c r="C155" i="32"/>
  <c r="D155" i="32" s="1"/>
  <c r="C138" i="32"/>
  <c r="D138" i="32" s="1"/>
  <c r="C104" i="35"/>
  <c r="D104" i="35" s="1"/>
  <c r="C70" i="35"/>
  <c r="D70" i="35" s="1"/>
  <c r="C124" i="29"/>
  <c r="D124" i="29" s="1"/>
  <c r="C70" i="28"/>
  <c r="D70" i="28" s="1"/>
  <c r="C126" i="36"/>
  <c r="D126" i="36" s="1"/>
  <c r="C166" i="25"/>
  <c r="D166" i="25" s="1"/>
  <c r="C139" i="4"/>
  <c r="D139" i="4" s="1"/>
  <c r="C113" i="36"/>
  <c r="D113" i="36" s="1"/>
  <c r="C8" i="3"/>
  <c r="D8" i="3" s="1"/>
  <c r="C111" i="29"/>
  <c r="D111" i="29" s="1"/>
  <c r="C111" i="36"/>
  <c r="D111" i="36" s="1"/>
  <c r="C109" i="29"/>
  <c r="D109" i="29" s="1"/>
  <c r="C24" i="3"/>
  <c r="D24" i="3" s="1"/>
  <c r="C31" i="3"/>
  <c r="D31" i="3" s="1"/>
  <c r="C113" i="3"/>
  <c r="D113" i="3" s="1"/>
  <c r="D126" i="3" s="1"/>
  <c r="C124" i="4"/>
  <c r="D124" i="4" s="1"/>
  <c r="C131" i="4"/>
  <c r="D131" i="4" s="1"/>
  <c r="C151" i="4"/>
  <c r="D151" i="4" s="1"/>
  <c r="C18" i="7"/>
  <c r="D18" i="7" s="1"/>
  <c r="C8" i="8"/>
  <c r="D8" i="8" s="1"/>
  <c r="C49" i="9"/>
  <c r="D49" i="9" s="1"/>
  <c r="C139" i="9"/>
  <c r="D139" i="9" s="1"/>
  <c r="D142" i="9" s="1"/>
  <c r="C44" i="10"/>
  <c r="D44" i="10" s="1"/>
  <c r="C22" i="12"/>
  <c r="D22" i="12" s="1"/>
  <c r="C19" i="14"/>
  <c r="D19" i="14" s="1"/>
  <c r="C162" i="25"/>
  <c r="D162" i="25" s="1"/>
  <c r="C17" i="26"/>
  <c r="D17" i="26" s="1"/>
  <c r="C98" i="29"/>
  <c r="D98" i="29" s="1"/>
  <c r="C159" i="32"/>
  <c r="D159" i="32" s="1"/>
  <c r="C29" i="33"/>
  <c r="D29" i="33" s="1"/>
  <c r="C9" i="16"/>
  <c r="D9" i="16" s="1"/>
  <c r="C31" i="17"/>
  <c r="D31" i="17" s="1"/>
  <c r="C64" i="25"/>
  <c r="D64" i="25" s="1"/>
  <c r="D86" i="14"/>
  <c r="C29" i="25"/>
  <c r="D29" i="25" s="1"/>
  <c r="C35" i="7"/>
  <c r="D35" i="7" s="1"/>
  <c r="C12" i="25"/>
  <c r="D12" i="25" s="1"/>
  <c r="C19" i="17"/>
  <c r="D19" i="17" s="1"/>
  <c r="C9" i="7"/>
  <c r="D9" i="7" s="1"/>
  <c r="C75" i="7"/>
  <c r="D75" i="7" s="1"/>
  <c r="C53" i="9"/>
  <c r="D53" i="9" s="1"/>
  <c r="C50" i="10"/>
  <c r="D50" i="10" s="1"/>
  <c r="C69" i="10"/>
  <c r="D69" i="10" s="1"/>
  <c r="C41" i="12"/>
  <c r="D41" i="12" s="1"/>
  <c r="C35" i="34"/>
  <c r="D35" i="34" s="1"/>
  <c r="C125" i="3"/>
  <c r="D125" i="3" s="1"/>
  <c r="C59" i="4"/>
  <c r="D59" i="4" s="1"/>
  <c r="C76" i="4"/>
  <c r="D76" i="4" s="1"/>
  <c r="D18" i="11"/>
  <c r="E18" i="11" s="1"/>
  <c r="C44" i="14"/>
  <c r="D44" i="14" s="1"/>
  <c r="C7" i="17"/>
  <c r="D7" i="17" s="1"/>
  <c r="C7" i="18"/>
  <c r="D7" i="18" s="1"/>
  <c r="D90" i="25"/>
  <c r="C85" i="36"/>
  <c r="D85" i="36" s="1"/>
  <c r="C45" i="34"/>
  <c r="D45" i="34" s="1"/>
  <c r="C55" i="34"/>
  <c r="D55" i="34" s="1"/>
  <c r="C107" i="33"/>
  <c r="D107" i="33" s="1"/>
  <c r="C87" i="32"/>
  <c r="D87" i="32" s="1"/>
  <c r="C65" i="34"/>
  <c r="D65" i="34" s="1"/>
  <c r="C160" i="33"/>
  <c r="D160" i="33" s="1"/>
  <c r="C143" i="33"/>
  <c r="D143" i="33" s="1"/>
  <c r="C83" i="33"/>
  <c r="D83" i="33" s="1"/>
  <c r="C29" i="37"/>
  <c r="D29" i="37" s="1"/>
  <c r="C12" i="37"/>
  <c r="D12" i="37" s="1"/>
  <c r="C167" i="36"/>
  <c r="D167" i="36" s="1"/>
  <c r="C71" i="33"/>
  <c r="D71" i="33" s="1"/>
  <c r="C5" i="34"/>
  <c r="D5" i="34" s="1"/>
  <c r="C43" i="32"/>
  <c r="D43" i="32" s="1"/>
  <c r="C79" i="37"/>
  <c r="D79" i="37" s="1"/>
  <c r="C28" i="30"/>
  <c r="D28" i="30" s="1"/>
  <c r="C138" i="29"/>
  <c r="D138" i="29" s="1"/>
  <c r="C14" i="28"/>
  <c r="D14" i="28" s="1"/>
  <c r="C33" i="33"/>
  <c r="D33" i="33" s="1"/>
  <c r="C120" i="35"/>
  <c r="D120" i="35" s="1"/>
  <c r="C85" i="29"/>
  <c r="D85" i="29" s="1"/>
  <c r="C88" i="28"/>
  <c r="D88" i="28" s="1"/>
  <c r="C71" i="28"/>
  <c r="D71" i="28" s="1"/>
  <c r="C101" i="36"/>
  <c r="D101" i="36" s="1"/>
  <c r="C52" i="35"/>
  <c r="D52" i="35" s="1"/>
  <c r="C58" i="37"/>
  <c r="D58" i="37" s="1"/>
  <c r="C44" i="37"/>
  <c r="D44" i="37" s="1"/>
  <c r="C14" i="36"/>
  <c r="D14" i="36" s="1"/>
  <c r="C14" i="35"/>
  <c r="D14" i="35" s="1"/>
  <c r="C95" i="33"/>
  <c r="D95" i="33" s="1"/>
  <c r="C29" i="32"/>
  <c r="D29" i="32" s="1"/>
  <c r="C105" i="35"/>
  <c r="D105" i="35" s="1"/>
  <c r="C33" i="29"/>
  <c r="D33" i="29" s="1"/>
  <c r="C14" i="29"/>
  <c r="D14" i="29" s="1"/>
  <c r="C18" i="26"/>
  <c r="D18" i="26" s="1"/>
  <c r="C127" i="36"/>
  <c r="D127" i="36" s="1"/>
  <c r="C143" i="32"/>
  <c r="D143" i="32" s="1"/>
  <c r="C45" i="30"/>
  <c r="D45" i="30" s="1"/>
  <c r="C98" i="25"/>
  <c r="D98" i="25" s="1"/>
  <c r="C16" i="24"/>
  <c r="D16" i="24" s="1"/>
  <c r="C14" i="33"/>
  <c r="D14" i="33" s="1"/>
  <c r="C150" i="25"/>
  <c r="D150" i="25" s="1"/>
  <c r="C6" i="30"/>
  <c r="D6" i="30" s="1"/>
  <c r="C52" i="29"/>
  <c r="D52" i="29" s="1"/>
  <c r="C126" i="32"/>
  <c r="D126" i="32" s="1"/>
  <c r="C25" i="31"/>
  <c r="D25" i="31" s="1"/>
  <c r="C88" i="35"/>
  <c r="D88" i="35" s="1"/>
  <c r="C15" i="34"/>
  <c r="D15" i="34" s="1"/>
  <c r="C72" i="32"/>
  <c r="D72" i="32" s="1"/>
  <c r="C17" i="30"/>
  <c r="D17" i="30" s="1"/>
  <c r="C68" i="37"/>
  <c r="D68" i="37" s="1"/>
  <c r="C69" i="36"/>
  <c r="D69" i="36" s="1"/>
  <c r="C99" i="32"/>
  <c r="D99" i="32" s="1"/>
  <c r="C140" i="36"/>
  <c r="D140" i="36" s="1"/>
  <c r="C33" i="35"/>
  <c r="D33" i="35" s="1"/>
  <c r="C71" i="35"/>
  <c r="D71" i="35" s="1"/>
  <c r="C177" i="32"/>
  <c r="D177" i="32" s="1"/>
  <c r="C131" i="33"/>
  <c r="D131" i="33" s="1"/>
  <c r="C33" i="36"/>
  <c r="D33" i="36" s="1"/>
  <c r="C111" i="32"/>
  <c r="D111" i="32" s="1"/>
  <c r="C8" i="31"/>
  <c r="D8" i="31" s="1"/>
  <c r="C19" i="27"/>
  <c r="D19" i="27" s="1"/>
  <c r="C25" i="34"/>
  <c r="D25" i="34" s="1"/>
  <c r="C55" i="32"/>
  <c r="D55" i="32" s="1"/>
  <c r="C99" i="29"/>
  <c r="D99" i="29" s="1"/>
  <c r="C43" i="27"/>
  <c r="D43" i="27" s="1"/>
  <c r="C154" i="36"/>
  <c r="D154" i="36" s="1"/>
  <c r="C160" i="32"/>
  <c r="D160" i="32" s="1"/>
  <c r="C52" i="36"/>
  <c r="D52" i="36" s="1"/>
  <c r="C69" i="29"/>
  <c r="D69" i="29" s="1"/>
  <c r="C81" i="25"/>
  <c r="D81" i="25" s="1"/>
  <c r="C22" i="16"/>
  <c r="D22" i="16" s="1"/>
  <c r="C167" i="25"/>
  <c r="D167" i="25" s="1"/>
  <c r="C47" i="25"/>
  <c r="D47" i="25" s="1"/>
  <c r="C7" i="19"/>
  <c r="D7" i="19" s="1"/>
  <c r="C43" i="17"/>
  <c r="D43" i="17" s="1"/>
  <c r="C52" i="33"/>
  <c r="D52" i="33" s="1"/>
  <c r="C29" i="14"/>
  <c r="D29" i="14" s="1"/>
  <c r="C12" i="14"/>
  <c r="D12" i="14" s="1"/>
  <c r="C12" i="32"/>
  <c r="D12" i="32" s="1"/>
  <c r="C31" i="18"/>
  <c r="D31" i="18" s="1"/>
  <c r="C119" i="33"/>
  <c r="D119" i="33" s="1"/>
  <c r="C56" i="30"/>
  <c r="D56" i="30" s="1"/>
  <c r="C52" i="28"/>
  <c r="D52" i="28" s="1"/>
  <c r="C71" i="26"/>
  <c r="D71" i="26" s="1"/>
  <c r="C30" i="26"/>
  <c r="D30" i="26" s="1"/>
  <c r="C36" i="24"/>
  <c r="D36" i="24" s="1"/>
  <c r="C31" i="19"/>
  <c r="D31" i="19" s="1"/>
  <c r="C41" i="16"/>
  <c r="D41" i="16" s="1"/>
  <c r="C93" i="26"/>
  <c r="D93" i="26" s="1"/>
  <c r="D94" i="26" s="1"/>
  <c r="C56" i="26"/>
  <c r="D56" i="26" s="1"/>
  <c r="C131" i="25"/>
  <c r="D131" i="25" s="1"/>
  <c r="C115" i="25"/>
  <c r="D115" i="25" s="1"/>
  <c r="C10" i="8"/>
  <c r="D10" i="8" s="1"/>
  <c r="C112" i="26"/>
  <c r="D112" i="26" s="1"/>
  <c r="C6" i="24"/>
  <c r="D6" i="24" s="1"/>
  <c r="C33" i="28"/>
  <c r="D33" i="28" s="1"/>
  <c r="C102" i="26"/>
  <c r="D102" i="26" s="1"/>
  <c r="C125" i="29"/>
  <c r="D125" i="29" s="1"/>
  <c r="C38" i="18"/>
  <c r="D38" i="18" s="1"/>
  <c r="C38" i="17"/>
  <c r="D38" i="17" s="1"/>
  <c r="D23" i="16"/>
  <c r="C139" i="32"/>
  <c r="D139" i="32" s="1"/>
  <c r="C41" i="30"/>
  <c r="D41" i="30" s="1"/>
  <c r="C173" i="32"/>
  <c r="D173" i="32" s="1"/>
  <c r="C156" i="32"/>
  <c r="D156" i="32" s="1"/>
  <c r="C76" i="25"/>
  <c r="D76" i="25" s="1"/>
  <c r="C59" i="25"/>
  <c r="D59" i="25" s="1"/>
  <c r="C24" i="25"/>
  <c r="D24" i="25" s="1"/>
  <c r="C49" i="4"/>
  <c r="D49" i="4" s="1"/>
  <c r="C66" i="4"/>
  <c r="D66" i="4" s="1"/>
  <c r="C83" i="4"/>
  <c r="D83" i="4" s="1"/>
  <c r="C87" i="7"/>
  <c r="D87" i="7" s="1"/>
  <c r="C64" i="36"/>
  <c r="D64" i="36" s="1"/>
  <c r="C80" i="36"/>
  <c r="D80" i="36" s="1"/>
  <c r="C96" i="36"/>
  <c r="D96" i="36" s="1"/>
  <c r="C64" i="29"/>
  <c r="D64" i="29" s="1"/>
  <c r="C20" i="31"/>
  <c r="D20" i="31" s="1"/>
  <c r="C110" i="25"/>
  <c r="D110" i="25" s="1"/>
  <c r="C80" i="29"/>
  <c r="D80" i="29" s="1"/>
  <c r="C63" i="36"/>
  <c r="D63" i="36" s="1"/>
  <c r="C63" i="29"/>
  <c r="D63" i="29" s="1"/>
  <c r="C27" i="27"/>
  <c r="D27" i="27" s="1"/>
  <c r="C19" i="31"/>
  <c r="D19" i="31" s="1"/>
  <c r="C77" i="36"/>
  <c r="D77" i="36" s="1"/>
  <c r="C93" i="36"/>
  <c r="D93" i="36" s="1"/>
  <c r="D102" i="36" s="1"/>
  <c r="C77" i="29"/>
  <c r="D77" i="29" s="1"/>
  <c r="C39" i="19"/>
  <c r="D39" i="19" s="1"/>
  <c r="D44" i="19" s="1"/>
  <c r="C39" i="17"/>
  <c r="D39" i="17" s="1"/>
  <c r="C46" i="33"/>
  <c r="D46" i="33" s="1"/>
  <c r="C8" i="33"/>
  <c r="D8" i="33" s="1"/>
  <c r="C117" i="29"/>
  <c r="D117" i="29" s="1"/>
  <c r="C8" i="29"/>
  <c r="D8" i="29" s="1"/>
  <c r="C46" i="29"/>
  <c r="D46" i="29" s="1"/>
  <c r="C140" i="32"/>
  <c r="D140" i="32" s="1"/>
  <c r="C174" i="32"/>
  <c r="D174" i="32" s="1"/>
  <c r="C42" i="30"/>
  <c r="D42" i="30" s="1"/>
  <c r="C157" i="32"/>
  <c r="D157" i="32" s="1"/>
  <c r="C43" i="25"/>
  <c r="D43" i="25" s="1"/>
  <c r="C60" i="25"/>
  <c r="D60" i="25" s="1"/>
  <c r="C77" i="25"/>
  <c r="D77" i="25" s="1"/>
  <c r="C15" i="9"/>
  <c r="D15" i="9" s="1"/>
  <c r="C47" i="30"/>
  <c r="D47" i="30" s="1"/>
  <c r="D152" i="33"/>
  <c r="D97" i="35"/>
  <c r="D4" i="29"/>
  <c r="C162" i="32"/>
  <c r="D162" i="32" s="1"/>
  <c r="D23" i="33"/>
  <c r="D4" i="37"/>
  <c r="D61" i="29"/>
  <c r="D23" i="28"/>
  <c r="D106" i="28"/>
  <c r="D17" i="31"/>
  <c r="D42" i="35"/>
  <c r="D61" i="36"/>
  <c r="D110" i="36"/>
  <c r="D78" i="36"/>
  <c r="D78" i="34" l="1"/>
  <c r="C79" i="34" s="1"/>
  <c r="D79" i="34" s="1"/>
  <c r="D65" i="25"/>
  <c r="D11" i="8"/>
  <c r="D10" i="7"/>
  <c r="D32" i="4"/>
  <c r="D88" i="7"/>
  <c r="D192" i="4"/>
  <c r="D150" i="34"/>
  <c r="D42" i="8"/>
  <c r="D30" i="25"/>
  <c r="D107" i="9"/>
  <c r="D11" i="6"/>
  <c r="D18" i="10"/>
  <c r="D126" i="34"/>
  <c r="C127" i="34" s="1"/>
  <c r="D127" i="34" s="1"/>
  <c r="D107" i="3"/>
  <c r="D90" i="34"/>
  <c r="D113" i="26"/>
  <c r="D103" i="26"/>
  <c r="D132" i="25"/>
  <c r="D69" i="37"/>
  <c r="D50" i="7"/>
  <c r="D42" i="16"/>
  <c r="D8" i="18"/>
  <c r="D72" i="8"/>
  <c r="D84" i="4"/>
  <c r="D96" i="9"/>
  <c r="C97" i="9" s="1"/>
  <c r="D97" i="9" s="1"/>
  <c r="D12" i="2"/>
  <c r="D42" i="12"/>
  <c r="D7" i="24"/>
  <c r="D10" i="16"/>
  <c r="D82" i="25"/>
  <c r="D101" i="4"/>
  <c r="C102" i="4" s="1"/>
  <c r="D127" i="32"/>
  <c r="D45" i="37"/>
  <c r="D19" i="26"/>
  <c r="D67" i="4"/>
  <c r="D100" i="29"/>
  <c r="C101" i="29" s="1"/>
  <c r="D101" i="29" s="1"/>
  <c r="D13" i="32"/>
  <c r="D30" i="14"/>
  <c r="D139" i="29"/>
  <c r="D48" i="25"/>
  <c r="C49" i="25" s="1"/>
  <c r="D49" i="25" s="1"/>
  <c r="D68" i="9"/>
  <c r="D11" i="16"/>
  <c r="C11" i="16"/>
  <c r="C13" i="2"/>
  <c r="D13" i="2" s="1"/>
  <c r="C11" i="7"/>
  <c r="D11" i="7" s="1"/>
  <c r="D17" i="9"/>
  <c r="C17" i="9"/>
  <c r="C89" i="7"/>
  <c r="D89" i="7" s="1"/>
  <c r="D69" i="9"/>
  <c r="C69" i="9"/>
  <c r="C21" i="18"/>
  <c r="D21" i="18" s="1"/>
  <c r="C43" i="8"/>
  <c r="D43" i="8" s="1"/>
  <c r="C103" i="36"/>
  <c r="D103" i="36" s="1"/>
  <c r="D31" i="25"/>
  <c r="C31" i="25"/>
  <c r="C27" i="8"/>
  <c r="D27" i="8" s="1"/>
  <c r="E19" i="11"/>
  <c r="C108" i="9"/>
  <c r="D108" i="9" s="1"/>
  <c r="C12" i="6"/>
  <c r="D12" i="6" s="1"/>
  <c r="C68" i="4"/>
  <c r="D68" i="4" s="1"/>
  <c r="C14" i="32"/>
  <c r="D14" i="32" s="1"/>
  <c r="C133" i="32"/>
  <c r="D133" i="32" s="1"/>
  <c r="C143" i="9"/>
  <c r="D143" i="9" s="1"/>
  <c r="D45" i="19"/>
  <c r="C45" i="19"/>
  <c r="C108" i="3"/>
  <c r="D108" i="3" s="1"/>
  <c r="D133" i="9"/>
  <c r="C133" i="9"/>
  <c r="C119" i="9"/>
  <c r="D119" i="9" s="1"/>
  <c r="C152" i="25"/>
  <c r="D152" i="25" s="1"/>
  <c r="D141" i="4"/>
  <c r="C101" i="32"/>
  <c r="D101" i="32" s="1"/>
  <c r="C12" i="8"/>
  <c r="D12" i="8" s="1"/>
  <c r="D193" i="4"/>
  <c r="C193" i="4"/>
  <c r="C114" i="26"/>
  <c r="D114" i="26" s="1"/>
  <c r="C70" i="37"/>
  <c r="D70" i="37" s="1"/>
  <c r="C25" i="2"/>
  <c r="D25" i="2" s="1"/>
  <c r="C66" i="25"/>
  <c r="D66" i="25" s="1"/>
  <c r="C46" i="14"/>
  <c r="D46" i="14" s="1"/>
  <c r="D82" i="9"/>
  <c r="C43" i="12"/>
  <c r="D43" i="12" s="1"/>
  <c r="C8" i="24"/>
  <c r="D8" i="24"/>
  <c r="D59" i="14"/>
  <c r="C51" i="7"/>
  <c r="D51" i="7" s="1"/>
  <c r="C43" i="16"/>
  <c r="D43" i="16" s="1"/>
  <c r="C9" i="18"/>
  <c r="D9" i="18" s="1"/>
  <c r="C73" i="8"/>
  <c r="D73" i="8" s="1"/>
  <c r="D75" i="14"/>
  <c r="C85" i="4"/>
  <c r="D85" i="4" s="1"/>
  <c r="D56" i="27"/>
  <c r="D54" i="9"/>
  <c r="D53" i="36"/>
  <c r="D53" i="35"/>
  <c r="D9" i="31"/>
  <c r="C19" i="10"/>
  <c r="D19" i="10" s="1"/>
  <c r="D15" i="36"/>
  <c r="D102" i="34"/>
  <c r="D138" i="34"/>
  <c r="D32" i="17"/>
  <c r="D40" i="9"/>
  <c r="D15" i="35"/>
  <c r="D24" i="16"/>
  <c r="C24" i="16"/>
  <c r="D44" i="17"/>
  <c r="D28" i="12"/>
  <c r="D26" i="9"/>
  <c r="D72" i="35"/>
  <c r="D13" i="37"/>
  <c r="C64" i="7"/>
  <c r="D64" i="7" s="1"/>
  <c r="D85" i="26"/>
  <c r="D141" i="36"/>
  <c r="C31" i="14"/>
  <c r="D31" i="14" s="1"/>
  <c r="C95" i="26"/>
  <c r="D95" i="26" s="1"/>
  <c r="D36" i="3"/>
  <c r="D32" i="18"/>
  <c r="D44" i="18"/>
  <c r="D27" i="24"/>
  <c r="D44" i="27"/>
  <c r="D30" i="37"/>
  <c r="D96" i="33"/>
  <c r="D14" i="4"/>
  <c r="D17" i="24"/>
  <c r="D32" i="27"/>
  <c r="D70" i="10"/>
  <c r="D26" i="31"/>
  <c r="E33" i="11"/>
  <c r="D33" i="11"/>
  <c r="E7" i="11"/>
  <c r="C20" i="26"/>
  <c r="D20" i="26" s="1"/>
  <c r="D128" i="36"/>
  <c r="D20" i="17"/>
  <c r="D36" i="7"/>
  <c r="D126" i="29"/>
  <c r="D120" i="33"/>
  <c r="D76" i="7"/>
  <c r="D37" i="24"/>
  <c r="D114" i="34"/>
  <c r="D13" i="25"/>
  <c r="D30" i="32"/>
  <c r="D106" i="35"/>
  <c r="D72" i="26"/>
  <c r="D20" i="19"/>
  <c r="D99" i="25"/>
  <c r="D34" i="33"/>
  <c r="C33" i="4"/>
  <c r="D33" i="4" s="1"/>
  <c r="D121" i="35"/>
  <c r="D7" i="26"/>
  <c r="D32" i="19"/>
  <c r="D70" i="29"/>
  <c r="D7" i="30"/>
  <c r="D57" i="8"/>
  <c r="D15" i="29"/>
  <c r="D89" i="35"/>
  <c r="D34" i="29"/>
  <c r="C67" i="34"/>
  <c r="D67" i="34" s="1"/>
  <c r="C127" i="3"/>
  <c r="D127" i="3" s="1"/>
  <c r="C55" i="3"/>
  <c r="D55" i="3" s="1"/>
  <c r="D70" i="36"/>
  <c r="D86" i="29"/>
  <c r="D88" i="32"/>
  <c r="D14" i="12"/>
  <c r="D34" i="35"/>
  <c r="D132" i="33"/>
  <c r="D34" i="36"/>
  <c r="D144" i="33"/>
  <c r="D56" i="34"/>
  <c r="C37" i="32"/>
  <c r="D37" i="32" s="1"/>
  <c r="D7" i="10"/>
  <c r="D86" i="36"/>
  <c r="D72" i="28"/>
  <c r="D18" i="30"/>
  <c r="D53" i="29"/>
  <c r="D180" i="4"/>
  <c r="D108" i="33"/>
  <c r="D168" i="36"/>
  <c r="D161" i="33"/>
  <c r="D8" i="19"/>
  <c r="D31" i="26"/>
  <c r="D155" i="36"/>
  <c r="D53" i="28"/>
  <c r="D34" i="28"/>
  <c r="D112" i="32"/>
  <c r="D6" i="9"/>
  <c r="D51" i="10"/>
  <c r="D15" i="28"/>
  <c r="D6" i="34"/>
  <c r="C50" i="32"/>
  <c r="D50" i="32" s="1"/>
  <c r="D20" i="27"/>
  <c r="D8" i="17"/>
  <c r="D92" i="14"/>
  <c r="D15" i="33"/>
  <c r="C52" i="32"/>
  <c r="D52" i="32" s="1"/>
  <c r="D46" i="34"/>
  <c r="D84" i="33"/>
  <c r="C168" i="4"/>
  <c r="D168" i="4" s="1"/>
  <c r="C151" i="34"/>
  <c r="D151" i="34" s="1"/>
  <c r="D8" i="27"/>
  <c r="D17" i="3"/>
  <c r="D29" i="30"/>
  <c r="D80" i="37"/>
  <c r="D72" i="3"/>
  <c r="D53" i="33"/>
  <c r="D59" i="37"/>
  <c r="D68" i="27"/>
  <c r="D57" i="26"/>
  <c r="D154" i="4"/>
  <c r="D35" i="10"/>
  <c r="D89" i="28"/>
  <c r="D16" i="34"/>
  <c r="D107" i="28"/>
  <c r="C107" i="28"/>
  <c r="D50" i="4"/>
  <c r="D44" i="26"/>
  <c r="D168" i="25"/>
  <c r="D90" i="3"/>
  <c r="D116" i="25"/>
  <c r="D73" i="32"/>
  <c r="D36" i="34"/>
  <c r="D13" i="14"/>
  <c r="D72" i="33"/>
  <c r="D115" i="4"/>
  <c r="C36" i="32"/>
  <c r="D36" i="32" s="1"/>
  <c r="D26" i="34"/>
  <c r="D23" i="7"/>
  <c r="C38" i="32" l="1"/>
  <c r="D38" i="32" s="1"/>
  <c r="C83" i="25"/>
  <c r="D83" i="25" s="1"/>
  <c r="C91" i="34"/>
  <c r="D91" i="34" s="1"/>
  <c r="C140" i="29"/>
  <c r="D140" i="29" s="1"/>
  <c r="C133" i="25"/>
  <c r="D133" i="25" s="1"/>
  <c r="D102" i="4"/>
  <c r="D44" i="32"/>
  <c r="C46" i="37"/>
  <c r="C104" i="26"/>
  <c r="D104" i="26" s="1"/>
  <c r="D46" i="37"/>
  <c r="C128" i="32"/>
  <c r="D128" i="32" s="1"/>
  <c r="C33" i="19"/>
  <c r="D33" i="19" s="1"/>
  <c r="C71" i="10"/>
  <c r="D71" i="10"/>
  <c r="D54" i="33"/>
  <c r="C54" i="33"/>
  <c r="D45" i="27"/>
  <c r="C45" i="27"/>
  <c r="C91" i="3"/>
  <c r="D91" i="3" s="1"/>
  <c r="C16" i="33"/>
  <c r="D16" i="33" s="1"/>
  <c r="C24" i="7"/>
  <c r="D24" i="7" s="1"/>
  <c r="C52" i="10"/>
  <c r="D52" i="10"/>
  <c r="C181" i="4"/>
  <c r="D181" i="4" s="1"/>
  <c r="C16" i="29"/>
  <c r="D16" i="29" s="1"/>
  <c r="C107" i="35"/>
  <c r="D107" i="35"/>
  <c r="C14" i="37"/>
  <c r="D14" i="37" s="1"/>
  <c r="D33" i="17"/>
  <c r="C33" i="17"/>
  <c r="D54" i="36"/>
  <c r="C54" i="36"/>
  <c r="C27" i="34"/>
  <c r="D27" i="34" s="1"/>
  <c r="C139" i="34"/>
  <c r="D139" i="34" s="1"/>
  <c r="D57" i="27"/>
  <c r="C57" i="27"/>
  <c r="C115" i="34"/>
  <c r="D115" i="34" s="1"/>
  <c r="C54" i="28"/>
  <c r="D54" i="28" s="1"/>
  <c r="C14" i="14"/>
  <c r="D14" i="14" s="1"/>
  <c r="D156" i="36"/>
  <c r="C156" i="36"/>
  <c r="D122" i="35"/>
  <c r="C122" i="35"/>
  <c r="C121" i="33"/>
  <c r="D121" i="33"/>
  <c r="C33" i="27"/>
  <c r="D33" i="27" s="1"/>
  <c r="D60" i="14"/>
  <c r="C60" i="14"/>
  <c r="C31" i="32"/>
  <c r="D31" i="32"/>
  <c r="C36" i="30"/>
  <c r="D36" i="30" s="1"/>
  <c r="C19" i="30"/>
  <c r="D19" i="30" s="1"/>
  <c r="C87" i="36"/>
  <c r="D87" i="36"/>
  <c r="C58" i="26"/>
  <c r="D58" i="26" s="1"/>
  <c r="D32" i="26"/>
  <c r="C32" i="26"/>
  <c r="C8" i="10"/>
  <c r="D8" i="10" s="1"/>
  <c r="C18" i="24"/>
  <c r="D18" i="24" s="1"/>
  <c r="C27" i="9"/>
  <c r="D27" i="9" s="1"/>
  <c r="C103" i="34"/>
  <c r="D103" i="34" s="1"/>
  <c r="C73" i="33"/>
  <c r="D73" i="33" s="1"/>
  <c r="C127" i="29"/>
  <c r="D127" i="29" s="1"/>
  <c r="C15" i="4"/>
  <c r="D15" i="4" s="1"/>
  <c r="C29" i="12"/>
  <c r="D29" i="12" s="1"/>
  <c r="C16" i="36"/>
  <c r="D16" i="36" s="1"/>
  <c r="C57" i="34"/>
  <c r="D57" i="34"/>
  <c r="C37" i="7"/>
  <c r="D37" i="7" s="1"/>
  <c r="C45" i="17"/>
  <c r="D45" i="17"/>
  <c r="C145" i="33"/>
  <c r="D145" i="33" s="1"/>
  <c r="C21" i="17"/>
  <c r="D21" i="17" s="1"/>
  <c r="C97" i="33"/>
  <c r="D97" i="33" s="1"/>
  <c r="C90" i="28"/>
  <c r="D90" i="28" s="1"/>
  <c r="C36" i="10"/>
  <c r="D36" i="10" s="1"/>
  <c r="D35" i="28"/>
  <c r="C35" i="28"/>
  <c r="C37" i="34"/>
  <c r="D37" i="34" s="1"/>
  <c r="C85" i="33"/>
  <c r="D85" i="33" s="1"/>
  <c r="C74" i="32"/>
  <c r="D74" i="32" s="1"/>
  <c r="C60" i="37"/>
  <c r="D60" i="37"/>
  <c r="C47" i="34"/>
  <c r="D47" i="34" s="1"/>
  <c r="C35" i="36"/>
  <c r="D35" i="36"/>
  <c r="C129" i="36"/>
  <c r="D129" i="36" s="1"/>
  <c r="C31" i="37"/>
  <c r="D31" i="37" s="1"/>
  <c r="C7" i="9"/>
  <c r="D7" i="9" s="1"/>
  <c r="C54" i="29"/>
  <c r="D54" i="29" s="1"/>
  <c r="C134" i="32"/>
  <c r="D134" i="32" s="1"/>
  <c r="D144" i="32" s="1"/>
  <c r="C168" i="32"/>
  <c r="D168" i="32" s="1"/>
  <c r="C113" i="32"/>
  <c r="D113" i="32" s="1"/>
  <c r="C151" i="32"/>
  <c r="D151" i="32" s="1"/>
  <c r="C73" i="28"/>
  <c r="D73" i="28" s="1"/>
  <c r="C77" i="7"/>
  <c r="D77" i="7" s="1"/>
  <c r="C69" i="27"/>
  <c r="D69" i="27" s="1"/>
  <c r="D20" i="11"/>
  <c r="E20" i="11" s="1"/>
  <c r="C73" i="35"/>
  <c r="D73" i="35"/>
  <c r="C117" i="25"/>
  <c r="D117" i="25"/>
  <c r="D142" i="4"/>
  <c r="C142" i="4"/>
  <c r="C8" i="30"/>
  <c r="D8" i="30"/>
  <c r="C71" i="29"/>
  <c r="D71" i="29" s="1"/>
  <c r="C116" i="4"/>
  <c r="D116" i="4" s="1"/>
  <c r="C17" i="34"/>
  <c r="D17" i="34" s="1"/>
  <c r="C27" i="31"/>
  <c r="D27" i="31" s="1"/>
  <c r="C155" i="4"/>
  <c r="D155" i="4" s="1"/>
  <c r="C133" i="33"/>
  <c r="D133" i="33" s="1"/>
  <c r="C30" i="30"/>
  <c r="D30" i="30" s="1"/>
  <c r="C52" i="30"/>
  <c r="D52" i="30" s="1"/>
  <c r="D57" i="30" s="1"/>
  <c r="C35" i="33"/>
  <c r="D35" i="33"/>
  <c r="C14" i="25"/>
  <c r="D14" i="25" s="1"/>
  <c r="C83" i="9"/>
  <c r="D83" i="9" s="1"/>
  <c r="C38" i="24"/>
  <c r="D38" i="24" s="1"/>
  <c r="C73" i="3"/>
  <c r="D73" i="3" s="1"/>
  <c r="C28" i="24"/>
  <c r="D28" i="24" s="1"/>
  <c r="C81" i="37"/>
  <c r="D81" i="37" s="1"/>
  <c r="C93" i="14"/>
  <c r="D93" i="14" s="1"/>
  <c r="C45" i="26"/>
  <c r="D45" i="26"/>
  <c r="C9" i="17"/>
  <c r="D9" i="17" s="1"/>
  <c r="C162" i="33"/>
  <c r="D162" i="33" s="1"/>
  <c r="C89" i="32"/>
  <c r="C167" i="32"/>
  <c r="D167" i="32" s="1"/>
  <c r="D89" i="32"/>
  <c r="C45" i="18"/>
  <c r="D45" i="18" s="1"/>
  <c r="C51" i="4"/>
  <c r="D51" i="4" s="1"/>
  <c r="C100" i="25"/>
  <c r="D100" i="25" s="1"/>
  <c r="C33" i="18"/>
  <c r="D33" i="18" s="1"/>
  <c r="C16" i="35"/>
  <c r="D16" i="35" s="1"/>
  <c r="C142" i="36"/>
  <c r="D142" i="36" s="1"/>
  <c r="C169" i="25"/>
  <c r="D169" i="25" s="1"/>
  <c r="C9" i="19"/>
  <c r="D9" i="19" s="1"/>
  <c r="C15" i="12"/>
  <c r="D15" i="12" s="1"/>
  <c r="C86" i="26"/>
  <c r="D86" i="26" s="1"/>
  <c r="C18" i="3"/>
  <c r="D18" i="3"/>
  <c r="C21" i="27"/>
  <c r="D21" i="27" s="1"/>
  <c r="C87" i="29"/>
  <c r="D87" i="29" s="1"/>
  <c r="C9" i="27"/>
  <c r="D9" i="27"/>
  <c r="D56" i="32"/>
  <c r="C169" i="36"/>
  <c r="D169" i="36" s="1"/>
  <c r="C71" i="36"/>
  <c r="D71" i="36" s="1"/>
  <c r="C37" i="3"/>
  <c r="D37" i="3"/>
  <c r="C10" i="31"/>
  <c r="D10" i="31" s="1"/>
  <c r="C35" i="35"/>
  <c r="D35" i="35" s="1"/>
  <c r="C109" i="33"/>
  <c r="D109" i="33"/>
  <c r="D8" i="11"/>
  <c r="E8" i="11" s="1"/>
  <c r="C58" i="8"/>
  <c r="D58" i="8" s="1"/>
  <c r="C55" i="9"/>
  <c r="D55" i="9" s="1"/>
  <c r="C8" i="26"/>
  <c r="D8" i="26" s="1"/>
  <c r="C7" i="34"/>
  <c r="D7" i="34" s="1"/>
  <c r="C35" i="29"/>
  <c r="D35" i="29" s="1"/>
  <c r="C21" i="19"/>
  <c r="D21" i="19" s="1"/>
  <c r="C76" i="14"/>
  <c r="D76" i="14" s="1"/>
  <c r="C16" i="28"/>
  <c r="D16" i="28" s="1"/>
  <c r="C90" i="35"/>
  <c r="D90" i="35" s="1"/>
  <c r="C73" i="26"/>
  <c r="D73" i="26" s="1"/>
  <c r="C41" i="9"/>
  <c r="D41" i="9" s="1"/>
  <c r="C54" i="35"/>
  <c r="D54" i="35" s="1"/>
  <c r="D178" i="32" l="1"/>
  <c r="C45" i="32"/>
  <c r="D45" i="32" s="1"/>
  <c r="C145" i="32"/>
  <c r="D145" i="32" s="1"/>
  <c r="C58" i="30"/>
  <c r="D58" i="30" s="1"/>
  <c r="C179" i="32"/>
  <c r="D179" i="32" s="1"/>
  <c r="C57" i="32"/>
  <c r="D57" i="32" s="1"/>
</calcChain>
</file>

<file path=xl/sharedStrings.xml><?xml version="1.0" encoding="utf-8"?>
<sst xmlns="http://schemas.openxmlformats.org/spreadsheetml/2006/main" count="1802" uniqueCount="466">
  <si>
    <t>Grupo</t>
  </si>
  <si>
    <t>Produto</t>
  </si>
  <si>
    <t>Qtd Pacote</t>
  </si>
  <si>
    <t>Vlr Pacote</t>
  </si>
  <si>
    <t>Unidade</t>
  </si>
  <si>
    <t>Unitário</t>
  </si>
  <si>
    <t>Fios</t>
  </si>
  <si>
    <t>Barroco MultiColor 200g</t>
  </si>
  <si>
    <t>gramas</t>
  </si>
  <si>
    <t>Armarinhos</t>
  </si>
  <si>
    <t>Bolinha 6,5</t>
  </si>
  <si>
    <t>Cordão Dourado</t>
  </si>
  <si>
    <t>m</t>
  </si>
  <si>
    <t>Cordão Encerado Settanyl</t>
  </si>
  <si>
    <t>Elastico</t>
  </si>
  <si>
    <t>Fio Clea 1000 160g</t>
  </si>
  <si>
    <t>Fitas</t>
  </si>
  <si>
    <t>Fita 7mm</t>
  </si>
  <si>
    <t>Fita cetim</t>
  </si>
  <si>
    <t>Ilhos</t>
  </si>
  <si>
    <t>Pano de Prato Pé de Galinha</t>
  </si>
  <si>
    <t>Pano de Prato Atoalhado</t>
  </si>
  <si>
    <t>Desgaste (Impressora, Encadernadora, Laminadora)</t>
  </si>
  <si>
    <t>Desgaste Agenda</t>
  </si>
  <si>
    <t>Desgaste Bloquinho/Outros</t>
  </si>
  <si>
    <t>Desgaste Caderno A5</t>
  </si>
  <si>
    <t>Desgaste Planner/Album/Caderno Universitario</t>
  </si>
  <si>
    <t>Embalagem (Seda, Plastico, Perfume, Sacola)</t>
  </si>
  <si>
    <t>Embalagem Padrão</t>
  </si>
  <si>
    <t>Espiral</t>
  </si>
  <si>
    <t>Espiral 17mm</t>
  </si>
  <si>
    <t>unidade 30cm</t>
  </si>
  <si>
    <t>Espiral 29mm</t>
  </si>
  <si>
    <t>Espiral 33mm</t>
  </si>
  <si>
    <t>Impressão</t>
  </si>
  <si>
    <t>Impressao Bolso A4</t>
  </si>
  <si>
    <t>Impressao Capa A4</t>
  </si>
  <si>
    <t>Impressao Capa A5</t>
  </si>
  <si>
    <t>Impressao Capa A6</t>
  </si>
  <si>
    <t>Impressao Marcador Frente Verso 1/4 A4</t>
  </si>
  <si>
    <t>Impressao Miolo Frente A5</t>
  </si>
  <si>
    <t>Impressao Miolo Frente A6</t>
  </si>
  <si>
    <t>Impressao Miolo Frente Verso A4</t>
  </si>
  <si>
    <t>Impressao Miolo Frente Verso A5</t>
  </si>
  <si>
    <t>Impressao Miolo Frente Verso A6</t>
  </si>
  <si>
    <t>Laminação e Plastificação</t>
  </si>
  <si>
    <t>bopp</t>
  </si>
  <si>
    <t>Polaseal A4 Divisórias</t>
  </si>
  <si>
    <t>Folha A4</t>
  </si>
  <si>
    <t>Polaseal marcador 1/4 A4</t>
  </si>
  <si>
    <t>1/4 A4</t>
  </si>
  <si>
    <t>OffSet 180g</t>
  </si>
  <si>
    <t>Bolso  offset 180gr</t>
  </si>
  <si>
    <t>divisórias offset 180gr</t>
  </si>
  <si>
    <t>miolo 180g A5</t>
  </si>
  <si>
    <t>Folha A5</t>
  </si>
  <si>
    <t>miolo 180gr A4</t>
  </si>
  <si>
    <t>OffSet 240g</t>
  </si>
  <si>
    <t>Papel 240g A4</t>
  </si>
  <si>
    <t>OffSet 75g</t>
  </si>
  <si>
    <t>miolo 75gr A4</t>
  </si>
  <si>
    <t>miolo 75gr A5</t>
  </si>
  <si>
    <t>Sulfite 75g A4</t>
  </si>
  <si>
    <t>Sulfite 75g A5</t>
  </si>
  <si>
    <t>OffSet 90g</t>
  </si>
  <si>
    <t>Marcador 90g A6</t>
  </si>
  <si>
    <t>Folha A6</t>
  </si>
  <si>
    <t>miolo 90gr A4 dobrado no meio</t>
  </si>
  <si>
    <t>miolo 90gr A5</t>
  </si>
  <si>
    <t>miolo 90gr A5 14x18</t>
  </si>
  <si>
    <t>OffSet Adesivado</t>
  </si>
  <si>
    <t>Papel guarda 14,5x18 offset adesivo</t>
  </si>
  <si>
    <t>Papel guarda 15,5x21,5 offset adesivo</t>
  </si>
  <si>
    <t>Papel guarda 16,5x21,5 offset adesivo</t>
  </si>
  <si>
    <t>Papel guarda 20x20 offset adesivo</t>
  </si>
  <si>
    <t>Papel offset adesivo + guarda</t>
  </si>
  <si>
    <t>Papel offset adesivo A4</t>
  </si>
  <si>
    <t>Papel Fotográfico</t>
  </si>
  <si>
    <t>Papel fotografico A4</t>
  </si>
  <si>
    <t>Papel Kraft</t>
  </si>
  <si>
    <t>Papel Kraft A4</t>
  </si>
  <si>
    <t>Papel Kraft A5</t>
  </si>
  <si>
    <t>Papelão Cinza</t>
  </si>
  <si>
    <t>Papelão 15,5x21,5+2,5x21,5</t>
  </si>
  <si>
    <t>Papelão 15x18,5</t>
  </si>
  <si>
    <t>Papelão 16x22</t>
  </si>
  <si>
    <t>Papelão 17x22</t>
  </si>
  <si>
    <t>Papelão 7,7x8,5+7,7x2,5</t>
  </si>
  <si>
    <t>Papelão 9,5x10,5+9,5x2</t>
  </si>
  <si>
    <t>Outros</t>
  </si>
  <si>
    <t>Frete</t>
  </si>
  <si>
    <t>Impressao Miolo Frente A4</t>
  </si>
  <si>
    <t>Impressao Divisória A4</t>
  </si>
  <si>
    <t>Papelão A4</t>
  </si>
  <si>
    <t>Papel guarda offset adesivo A4</t>
  </si>
  <si>
    <t>Papelão 10,5x7,5</t>
  </si>
  <si>
    <t>miolo 75gr A7</t>
  </si>
  <si>
    <t>Espiral 20mm</t>
  </si>
  <si>
    <t>Ima 3x15 (1mx0,62m)</t>
  </si>
  <si>
    <t xml:space="preserve">caneta quadro branco </t>
  </si>
  <si>
    <t>Papelão 19x27</t>
  </si>
  <si>
    <t>Papel guarda 18,5x26,5 offset adesivo</t>
  </si>
  <si>
    <t>miolo 75gr 18x26</t>
  </si>
  <si>
    <t>Plástico Cristal 1mx1,4m</t>
  </si>
  <si>
    <t>Tricoline</t>
  </si>
  <si>
    <t>Tecido Tricoline 1mx1,4m trevo</t>
  </si>
  <si>
    <t>Botão de Pressão</t>
  </si>
  <si>
    <t>caixa</t>
  </si>
  <si>
    <t>Manta R2 1mx1,4m</t>
  </si>
  <si>
    <t>Vies 20m</t>
  </si>
  <si>
    <t>Linha Dinner</t>
  </si>
  <si>
    <t>Etiqueta Cetim 1,5 10m</t>
  </si>
  <si>
    <t>Papel Transfer</t>
  </si>
  <si>
    <t>Impressão A4</t>
  </si>
  <si>
    <t>Papel 180gr A4</t>
  </si>
  <si>
    <t>Alça - Fio Nautico circulo branco</t>
  </si>
  <si>
    <t>Papel 180gr A4 Reciclado</t>
  </si>
  <si>
    <t>Alça - Cordão de Algodão</t>
  </si>
  <si>
    <t>Linha Circulo Maxi Mouline</t>
  </si>
  <si>
    <t>Caderno</t>
  </si>
  <si>
    <t>Caderno Brochura Foroni A5</t>
  </si>
  <si>
    <t>Contact</t>
  </si>
  <si>
    <t>Contact 200x45</t>
  </si>
  <si>
    <t>EVA</t>
  </si>
  <si>
    <t>EVA 40x47</t>
  </si>
  <si>
    <t>Papelão 12x12+12x12+12x1</t>
  </si>
  <si>
    <t>Sulfite 90gr 11,5x11,5</t>
  </si>
  <si>
    <t>Cola Branca 1kg</t>
  </si>
  <si>
    <t>Linha Urso</t>
  </si>
  <si>
    <t>Papelão 11,5x15,5</t>
  </si>
  <si>
    <t>Papel guarda 11x14,5 offset adesivo</t>
  </si>
  <si>
    <t>Sulfite 75g A6</t>
  </si>
  <si>
    <t>Color Plus</t>
  </si>
  <si>
    <t>Color Plus Guarda A4</t>
  </si>
  <si>
    <t>Papel 180gr A6</t>
  </si>
  <si>
    <t>Máscara Facial de Limpeza</t>
  </si>
  <si>
    <t>Doces</t>
  </si>
  <si>
    <t>Chocolate Talento 25g</t>
  </si>
  <si>
    <t>Caixa</t>
  </si>
  <si>
    <t>Goma de Mascar Trident 168g</t>
  </si>
  <si>
    <t>Barroco Natural 8 700g</t>
  </si>
  <si>
    <t>Fio Anne 500 147g</t>
  </si>
  <si>
    <t>Papel 180gr Capa 6x6</t>
  </si>
  <si>
    <t>Embalagem Atacado</t>
  </si>
  <si>
    <t>Pró-labore</t>
  </si>
  <si>
    <t>Pró-Labore Priscilla por Hora</t>
  </si>
  <si>
    <t>Custos Fixos</t>
  </si>
  <si>
    <t>Custos Fixos por Hora</t>
  </si>
  <si>
    <t>Chocolate Baton 16g</t>
  </si>
  <si>
    <t>Card OffSet 180gr</t>
  </si>
  <si>
    <t>Impressao Card</t>
  </si>
  <si>
    <t>Bon Bon Arcor 15g</t>
  </si>
  <si>
    <t>Pacote</t>
  </si>
  <si>
    <t>Sonho de Valsa 15g</t>
  </si>
  <si>
    <t>Moranguete 13g</t>
  </si>
  <si>
    <t>Envelopes</t>
  </si>
  <si>
    <t>Envelope Canguru 15x13</t>
  </si>
  <si>
    <t>Envelope Canguru 15x21</t>
  </si>
  <si>
    <t>Offset 90g</t>
  </si>
  <si>
    <t>Sulfite 90gr</t>
  </si>
  <si>
    <t>Plástico Cristal</t>
  </si>
  <si>
    <t>Plástico Alclear Light Translucido</t>
  </si>
  <si>
    <t>Espiral 33mm plastico</t>
  </si>
  <si>
    <t>miolo 75gr A6</t>
  </si>
  <si>
    <t>Papelão 15,5x11,5</t>
  </si>
  <si>
    <t>Papel guarda 11x15 offset adesivo</t>
  </si>
  <si>
    <t>Manta R1 1mx1,4m</t>
  </si>
  <si>
    <t>Tecido Tricoline 1mx1,4m</t>
  </si>
  <si>
    <t>Sabonete Natura com 5</t>
  </si>
  <si>
    <t>Couro</t>
  </si>
  <si>
    <t>Couro 7,5 cm x 3 cm</t>
  </si>
  <si>
    <t>miolo 75gr 3cm x 5 cm</t>
  </si>
  <si>
    <t>mini</t>
  </si>
  <si>
    <t>Cordão cetim</t>
  </si>
  <si>
    <t>Tira couro fechamento</t>
  </si>
  <si>
    <t>Argola para Chaveiro</t>
  </si>
  <si>
    <t>Kit Bolachas (1 Torrada, 1 Maisena, 1 Creem Cracker, 1 Chocolate, 1 Leite, 1 Gotas, 1 Banana com Canela)</t>
  </si>
  <si>
    <t>unidade</t>
  </si>
  <si>
    <t>Suco Caixinha Chefa 200ml</t>
  </si>
  <si>
    <t>Açucar União Sache 5g</t>
  </si>
  <si>
    <t>Café Pelé Sache</t>
  </si>
  <si>
    <t>Capuccino 3 Corações Sache</t>
  </si>
  <si>
    <t>Geleia Blister 15g</t>
  </si>
  <si>
    <t>Envelope 80g visita 115x80 linho branco 5452 Romitec</t>
  </si>
  <si>
    <t>OffSet 120g</t>
  </si>
  <si>
    <t>Papel Offset Sulfite 120g A4</t>
  </si>
  <si>
    <t>Papel Offset Sulfite 120g A5</t>
  </si>
  <si>
    <t>Papel Offset Sulfite 120g A6</t>
  </si>
  <si>
    <t>miolo 90gr A6</t>
  </si>
  <si>
    <t>Papel Kraft A6</t>
  </si>
  <si>
    <t>Lixa de Unha</t>
  </si>
  <si>
    <t>Papel Kraft 20x5</t>
  </si>
  <si>
    <t>Fralda Cremer 70x70</t>
  </si>
  <si>
    <t>Toalha Cremer 120x70</t>
  </si>
  <si>
    <t>Couro 11 cm x 15 cm</t>
  </si>
  <si>
    <t>Impressao Miolo Frente Verso A7</t>
  </si>
  <si>
    <t>Papel Kraft A7</t>
  </si>
  <si>
    <t>Sulfite 75g A8</t>
  </si>
  <si>
    <t>Chá Twinings Frutas Silvestres</t>
  </si>
  <si>
    <t>Color Plus 20x5</t>
  </si>
  <si>
    <t>Tassel</t>
  </si>
  <si>
    <t>Papelaria</t>
  </si>
  <si>
    <t>Lápis de Cor 12 cores meio lápis redondo HT 11.1702 Happy-time</t>
  </si>
  <si>
    <t>Elastico roliço</t>
  </si>
  <si>
    <t>Caneta decorada</t>
  </si>
  <si>
    <t>Lapis infinito</t>
  </si>
  <si>
    <t>Miçangas e Pedrarias</t>
  </si>
  <si>
    <t>Balão de acrilico</t>
  </si>
  <si>
    <t>Miçanga Jablonex</t>
  </si>
  <si>
    <t>Cristal Plastico</t>
  </si>
  <si>
    <t>Conta Plastica Florzinha</t>
  </si>
  <si>
    <t>Medalhas e Pingentes</t>
  </si>
  <si>
    <t>Entermeio Nossa Senhora Aparecida 1,9x1,5</t>
  </si>
  <si>
    <t>Entermeio Nossa Senhora Aparecida 1,5x1,1</t>
  </si>
  <si>
    <t>Entermeio Medalha de São Bento 1,5x1,5</t>
  </si>
  <si>
    <t>Cruz e Entremeio emborrachado</t>
  </si>
  <si>
    <t>Cruxifixo Metal Niquel</t>
  </si>
  <si>
    <t>Cruz Face de Cristo 3,3x2</t>
  </si>
  <si>
    <t>Metais</t>
  </si>
  <si>
    <t>Contrapino</t>
  </si>
  <si>
    <t>Triangulo</t>
  </si>
  <si>
    <t>Argola</t>
  </si>
  <si>
    <t>Acrilico</t>
  </si>
  <si>
    <t>Caixa Acrilica 5x5</t>
  </si>
  <si>
    <t>Feltro</t>
  </si>
  <si>
    <t>Feltro 10x5</t>
  </si>
  <si>
    <t>Pétala EVA 10cm</t>
  </si>
  <si>
    <t>Folha EVA 8cm</t>
  </si>
  <si>
    <t>Pétala EVA 9cm</t>
  </si>
  <si>
    <t>Suporte Balão</t>
  </si>
  <si>
    <t>Fita Floral 12mm</t>
  </si>
  <si>
    <t>Metros</t>
  </si>
  <si>
    <t>Saquinho Flor</t>
  </si>
  <si>
    <t>Fitilho Plástico 05mm</t>
  </si>
  <si>
    <t>Vidro 100 ml</t>
  </si>
  <si>
    <t>Vareta 18cm</t>
  </si>
  <si>
    <t>Vareta com Flor</t>
  </si>
  <si>
    <t>Tampa Plastica</t>
  </si>
  <si>
    <t>Alcool de Cereais</t>
  </si>
  <si>
    <t>Litro</t>
  </si>
  <si>
    <t>Essencia</t>
  </si>
  <si>
    <t>mililitro</t>
  </si>
  <si>
    <t>Agua Mineral</t>
  </si>
  <si>
    <t>Sal Grosso</t>
  </si>
  <si>
    <t>Caixa com visor</t>
  </si>
  <si>
    <t>Post It</t>
  </si>
  <si>
    <t>Post It 40x50 100 folhas</t>
  </si>
  <si>
    <t>Papelão 4,5x5,5 + 4,5x5,5 + 1x5,5</t>
  </si>
  <si>
    <t>Vinil 1x0,22m</t>
  </si>
  <si>
    <t>Vinil 15x11cm</t>
  </si>
  <si>
    <t>Corrente Bolinha N2 Niquel</t>
  </si>
  <si>
    <t>Papel Kraft 10,5x9,5</t>
  </si>
  <si>
    <t>Sulfite 90gr 9x9</t>
  </si>
  <si>
    <t>Impressao Miolo Frente Verso 9x9</t>
  </si>
  <si>
    <t>Espiral 14mm</t>
  </si>
  <si>
    <t>Lã Balloon 100g</t>
  </si>
  <si>
    <t>Bico de Pato Jacaré com Garra</t>
  </si>
  <si>
    <t>Fio de Malha Euroroma 140m</t>
  </si>
  <si>
    <t>Barbante Bandeirantes nº 8</t>
  </si>
  <si>
    <t>Papel Pólen</t>
  </si>
  <si>
    <t>Pólen Bold - 90 g/m2 - A4 (21x29,7cm)</t>
  </si>
  <si>
    <t>Pólen Bold - 90 g/m2 - A5</t>
  </si>
  <si>
    <t>Couro 16 cm x 11 cm</t>
  </si>
  <si>
    <t>Couro 9 cm x 2 cm</t>
  </si>
  <si>
    <t>Couro 15 cm x 28 cm</t>
  </si>
  <si>
    <t>Couro 1,5 cm x 30 cm</t>
  </si>
  <si>
    <t>Puxador De Metal Carrapeta 7mmx5mm</t>
  </si>
  <si>
    <t>unidades</t>
  </si>
  <si>
    <t>Couro 15 cm x 32 cm</t>
  </si>
  <si>
    <t>Couro 15 cm x 3,5 cm</t>
  </si>
  <si>
    <t>Couro 15 cm x 9 cm</t>
  </si>
  <si>
    <t>Ímã Neodímio Ø 20x1 mm N35</t>
  </si>
  <si>
    <t>Color plus Aspen 120g</t>
  </si>
  <si>
    <t>Color plus metalico Aspen 120g A4</t>
  </si>
  <si>
    <t>Sulfite 90gr A4</t>
  </si>
  <si>
    <t>miolo 90gr A7</t>
  </si>
  <si>
    <t>Couro 22 cm x 8 cm</t>
  </si>
  <si>
    <t>Couro 6 cm x 8 cm</t>
  </si>
  <si>
    <t>Marca texto</t>
  </si>
  <si>
    <t>Fecho canoa Niquel</t>
  </si>
  <si>
    <t>Outro</t>
  </si>
  <si>
    <t>Miolo Calendário 5x5</t>
  </si>
  <si>
    <t>Ima</t>
  </si>
  <si>
    <t>Manta Imantada</t>
  </si>
  <si>
    <t>Manta Imantada A6</t>
  </si>
  <si>
    <t>Papel fotografico A6</t>
  </si>
  <si>
    <t>Papel fotografico 10X5</t>
  </si>
  <si>
    <t>Manta Imantada 10X5</t>
  </si>
  <si>
    <t>Impressao Bolso 10x5</t>
  </si>
  <si>
    <t>Color plus</t>
  </si>
  <si>
    <t>Color plus A4</t>
  </si>
  <si>
    <t>Papelão 5,5x7,5</t>
  </si>
  <si>
    <t>Papel fotografico 8,5x10,5</t>
  </si>
  <si>
    <t>Papel guarda 5x7 offset adesivo</t>
  </si>
  <si>
    <t>miolo 75gr 5x7</t>
  </si>
  <si>
    <t>Embalagem</t>
  </si>
  <si>
    <t>Saco Adesivo Transparente 6x12cm</t>
  </si>
  <si>
    <t>Lenço de Papel</t>
  </si>
  <si>
    <t>Pirulito Florestal Coração Vermelho</t>
  </si>
  <si>
    <t>Papel vegetal</t>
  </si>
  <si>
    <t>Papel vegetal A4 75g</t>
  </si>
  <si>
    <t>Tecido Tricoline 32cmx20cm</t>
  </si>
  <si>
    <t>Tecido Tricoline 11cmx6cm</t>
  </si>
  <si>
    <t>Barbante Bandeirantes nº 4</t>
  </si>
  <si>
    <t>metros</t>
  </si>
  <si>
    <t>Painço 500g</t>
  </si>
  <si>
    <t>Plastico para encadernação</t>
  </si>
  <si>
    <t>Plastico para encadernação preto A4</t>
  </si>
  <si>
    <t>folha A4</t>
  </si>
  <si>
    <t>Acetato</t>
  </si>
  <si>
    <t>Acetato 18 micras</t>
  </si>
  <si>
    <t>Mini caderno</t>
  </si>
  <si>
    <t>Custo</t>
  </si>
  <si>
    <t>Margem</t>
  </si>
  <si>
    <t>Pesquisa</t>
  </si>
  <si>
    <t>Valor</t>
  </si>
  <si>
    <t>Pirulito Personalizado</t>
  </si>
  <si>
    <t>Planner Viagem</t>
  </si>
  <si>
    <t>Diário de Leitura</t>
  </si>
  <si>
    <t>Elo 7</t>
  </si>
  <si>
    <t>Elo 7 - 111p</t>
  </si>
  <si>
    <t>Agenda Escolar 1 dia</t>
  </si>
  <si>
    <t>MP mimos</t>
  </si>
  <si>
    <t>Praper</t>
  </si>
  <si>
    <t>Agenda Escolar 2 dias</t>
  </si>
  <si>
    <t>Prapper</t>
  </si>
  <si>
    <t>Desk Planner</t>
  </si>
  <si>
    <t>Caderno A5</t>
  </si>
  <si>
    <t>Caderno Colorir</t>
  </si>
  <si>
    <t>Agenda 1 dia datada</t>
  </si>
  <si>
    <t>praper</t>
  </si>
  <si>
    <t>mp</t>
  </si>
  <si>
    <t>Agenda 2 dias datada</t>
  </si>
  <si>
    <t>Agenda Agendamento</t>
  </si>
  <si>
    <t>Calendario A5</t>
  </si>
  <si>
    <t>Calendário Comercial</t>
  </si>
  <si>
    <t>Calendario 10x10</t>
  </si>
  <si>
    <t>Planner Kraft A5 Bordado</t>
  </si>
  <si>
    <t>Planner anual</t>
  </si>
  <si>
    <t>Agenda de Bolso</t>
  </si>
  <si>
    <t>Calendário Imã 15x10</t>
  </si>
  <si>
    <t>Calendário Imã 5x10</t>
  </si>
  <si>
    <t>Porta Calendário 10x15 com 150</t>
  </si>
  <si>
    <t>Jogo da Memória</t>
  </si>
  <si>
    <t>Bloco Kraft 10x10 bordado espiral pautado</t>
  </si>
  <si>
    <t>Feito Folhas</t>
  </si>
  <si>
    <t>Caderno Kraft A6 bordado</t>
  </si>
  <si>
    <t>Caderno Kraft A5 bordado</t>
  </si>
  <si>
    <t>Planner Kraft A5 bordado</t>
  </si>
  <si>
    <t>Cartão Kraft A6 bordado</t>
  </si>
  <si>
    <t>Marcador de Páginas Kraft bordado</t>
  </si>
  <si>
    <t>Mini Cartão Kraft A6 bordado</t>
  </si>
  <si>
    <t>Caderno Amor</t>
  </si>
  <si>
    <t>Te</t>
  </si>
  <si>
    <t>Caderno Leveza</t>
  </si>
  <si>
    <t>Valor⁴</t>
  </si>
  <si>
    <t>Caderno Liberdade</t>
  </si>
  <si>
    <t>Colar pingente caderno</t>
  </si>
  <si>
    <t>Descanso de Panela em Croche Malha - Quadrado</t>
  </si>
  <si>
    <t>Descanso de Panela em Croche Malha - Flor</t>
  </si>
  <si>
    <t>Descanso de Panela em Croche Malha - Duplo</t>
  </si>
  <si>
    <t>Fralda com Crochê</t>
  </si>
  <si>
    <t>Fralda com Crochê com 12</t>
  </si>
  <si>
    <t>Toalha com Crochê</t>
  </si>
  <si>
    <t>Toalha com Crochê com 12</t>
  </si>
  <si>
    <t>Pano de Boca com Crochê</t>
  </si>
  <si>
    <t>Pano de Prato Atoalhado com Crochê Grande</t>
  </si>
  <si>
    <t>Pano de Prato Atoalhado com Crochê Pequeno</t>
  </si>
  <si>
    <t>Puxa-saco em Crochê</t>
  </si>
  <si>
    <t>Adesivo Garrafa 500ml - Com 60</t>
  </si>
  <si>
    <t>elo7</t>
  </si>
  <si>
    <t>Tag 4 x 4 com 150</t>
  </si>
  <si>
    <t>Caderno de Assinaturas A4 Costurado</t>
  </si>
  <si>
    <t>Caderneta de Vacina</t>
  </si>
  <si>
    <t>Convite Padrinhos/Daminhas</t>
  </si>
  <si>
    <t>Manual Padrinhos/Daminhas</t>
  </si>
  <si>
    <t>Lágrimas</t>
  </si>
  <si>
    <t>Kit Higiene Bucal</t>
  </si>
  <si>
    <t>Ecobag InvisaAlign</t>
  </si>
  <si>
    <t>Ecobag 30x40</t>
  </si>
  <si>
    <t>Caderno A5 - Preguiça</t>
  </si>
  <si>
    <t>Caderno A5 - Preguiça+</t>
  </si>
  <si>
    <t>Bloquinho de Anotações 12x12 cm - Preguiça</t>
  </si>
  <si>
    <t>Caderno Brochura A5 - Fofurinhas</t>
  </si>
  <si>
    <t>Bloquinho de Anotações A7 - Fofurinhas</t>
  </si>
  <si>
    <t>Caderno Brochurado A5 - Fofurinhas</t>
  </si>
  <si>
    <t>loja sabonete</t>
  </si>
  <si>
    <t>Máscara de Limpeza Facial</t>
  </si>
  <si>
    <t>Livro do bebê</t>
  </si>
  <si>
    <t>Bloquinho 6x6</t>
  </si>
  <si>
    <t>Toalhinha para Lancheira 30x40</t>
  </si>
  <si>
    <t>Capa Plástica para Caderneta de Vacina do Idoso</t>
  </si>
  <si>
    <t>Jogo 5 Marias</t>
  </si>
  <si>
    <t>Sacolinha P</t>
  </si>
  <si>
    <t>Sacolinha M</t>
  </si>
  <si>
    <t>Sacolinha 8,5 x 8,5</t>
  </si>
  <si>
    <t>Sacolinha M reciclado</t>
  </si>
  <si>
    <t>Mini Chapéu em Crochê</t>
  </si>
  <si>
    <t>Caderno de Receitas</t>
  </si>
  <si>
    <t>Terço Aparecida P</t>
  </si>
  <si>
    <t>Terço Aparecida M</t>
  </si>
  <si>
    <t>Terço Aparecida Infantil</t>
  </si>
  <si>
    <t>Terço São Bento</t>
  </si>
  <si>
    <t>Caderneta Vacina Pet</t>
  </si>
  <si>
    <t>Flor EVA</t>
  </si>
  <si>
    <t>Cesta de Beleza: Aromatizador + Escalda Pés</t>
  </si>
  <si>
    <t>Caça aos ovos</t>
  </si>
  <si>
    <t>Sacolinha G</t>
  </si>
  <si>
    <t>Saquinho bom bom</t>
  </si>
  <si>
    <t>Saquinho Bom bom c/ 10</t>
  </si>
  <si>
    <t>Pasta com desenho colorir</t>
  </si>
  <si>
    <t>Caixa Presente de Páscoa</t>
  </si>
  <si>
    <t>Caneta Decorada</t>
  </si>
  <si>
    <t>Chá Personalizado</t>
  </si>
  <si>
    <t>Chá Personalizado c/ 10</t>
  </si>
  <si>
    <t>Chocolate Baton Personalizado</t>
  </si>
  <si>
    <t>Chocolate Baton Personalizado c/ 10</t>
  </si>
  <si>
    <t>Sonho de Valsa Personalizado</t>
  </si>
  <si>
    <t>Moranguete Personalizado</t>
  </si>
  <si>
    <t>Agenda creche</t>
  </si>
  <si>
    <t>Manteiga</t>
  </si>
  <si>
    <t>Papel 180g</t>
  </si>
  <si>
    <t>Impressao A4</t>
  </si>
  <si>
    <t>Desgaste</t>
  </si>
  <si>
    <t>Caixa Dia dos Pais</t>
  </si>
  <si>
    <t>Caixa Ferramentas</t>
  </si>
  <si>
    <t>Cesta Café</t>
  </si>
  <si>
    <t>Caixa Geleia</t>
  </si>
  <si>
    <t>Pote de Geleia Caseira</t>
  </si>
  <si>
    <t>Livro do Casal</t>
  </si>
  <si>
    <t>Caderno gratidão</t>
  </si>
  <si>
    <t>Diário</t>
  </si>
  <si>
    <t>Kit beleza</t>
  </si>
  <si>
    <t>Kit com 5 Ecopads e mascara facial</t>
  </si>
  <si>
    <t>Caderno receitas</t>
  </si>
  <si>
    <t>Cesta em Tecido</t>
  </si>
  <si>
    <t>Cesta Café 1</t>
  </si>
  <si>
    <t>Cesta Café 2</t>
  </si>
  <si>
    <t>Cesta Café 3</t>
  </si>
  <si>
    <t>Agenda 1 dia Alice</t>
  </si>
  <si>
    <t>Agenda 2 dias Alice</t>
  </si>
  <si>
    <t>Agenda Masculina 1 dia</t>
  </si>
  <si>
    <t>Agenda Masculina 2 dias</t>
  </si>
  <si>
    <t>Saquinho bom bom A5</t>
  </si>
  <si>
    <t>Saquinho Bom bom A4</t>
  </si>
  <si>
    <t>Caderno A5 Alice</t>
  </si>
  <si>
    <t>Ecopad c/5 P</t>
  </si>
  <si>
    <t>Ecopad c/5 P com Bolsa</t>
  </si>
  <si>
    <t>Ecopad c/3 M</t>
  </si>
  <si>
    <t>Ecopad c/3 M com Bolsa</t>
  </si>
  <si>
    <t>Bolsa para Ecopad em Croche</t>
  </si>
  <si>
    <t>Esponja Massageadora em Crochê</t>
  </si>
  <si>
    <t>Esponja Fru-fru</t>
  </si>
  <si>
    <t>Baton</t>
  </si>
  <si>
    <t>Bon bon Personalizado</t>
  </si>
  <si>
    <t>Caderno Universitário</t>
  </si>
  <si>
    <t>Planejador de geladeira</t>
  </si>
  <si>
    <t>Calendario minizinho</t>
  </si>
  <si>
    <t>Caderno Kraft A6 - Capa Impressa</t>
  </si>
  <si>
    <t>Planejamento Mensal A5 Costurado</t>
  </si>
  <si>
    <t>Planejamento Mensal A4 Blocado</t>
  </si>
  <si>
    <t>Caderno Devocional</t>
  </si>
  <si>
    <t>Caderno de Orações</t>
  </si>
  <si>
    <t>Bloquinho A7</t>
  </si>
  <si>
    <t>Kit Porta Panelas com 3</t>
  </si>
  <si>
    <t>Kit Pano de Prato Decorado com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</si>
</sst>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&quot;$&quot;#,##0.00"/>
  </numFmts>
  <fonts count="1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i/>
      <sz val="11"/>
      <color theme="1"/>
      <name val="Calibri"/>
    </font>
    <font>
      <i/>
      <sz val="10"/>
      <color theme="1"/>
      <name val="Arial"/>
    </font>
    <font>
      <i/>
      <sz val="10"/>
      <color theme="1"/>
      <name val="Arial"/>
      <scheme val="minor"/>
    </font>
    <font>
      <i/>
      <sz val="11"/>
      <color rgb="FF000000"/>
      <name val="Calibri"/>
    </font>
    <font>
      <sz val="12"/>
      <color rgb="FF202124"/>
      <name val="Roboto"/>
    </font>
    <font>
      <sz val="9"/>
      <color rgb="FF000000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4" xfId="0" applyFont="1" applyBorder="1" applyAlignment="1">
      <alignment horizontal="left" vertical="center"/>
    </xf>
    <xf numFmtId="0" fontId="3" fillId="0" borderId="4" xfId="0" applyFont="1" applyBorder="1"/>
    <xf numFmtId="164" fontId="1" fillId="0" borderId="4" xfId="0" applyNumberFormat="1" applyFont="1" applyBorder="1"/>
    <xf numFmtId="0" fontId="4" fillId="0" borderId="4" xfId="0" applyFont="1" applyBorder="1" applyAlignment="1">
      <alignment vertical="center"/>
    </xf>
    <xf numFmtId="3" fontId="4" fillId="0" borderId="4" xfId="0" applyNumberFormat="1" applyFont="1" applyBorder="1"/>
    <xf numFmtId="164" fontId="4" fillId="0" borderId="4" xfId="0" applyNumberFormat="1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4" fillId="0" borderId="4" xfId="0" applyFont="1" applyBorder="1"/>
    <xf numFmtId="164" fontId="3" fillId="0" borderId="4" xfId="0" applyNumberFormat="1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4" fillId="0" borderId="0" xfId="0" applyFont="1"/>
    <xf numFmtId="9" fontId="5" fillId="0" borderId="4" xfId="0" applyNumberFormat="1" applyFont="1" applyBorder="1" applyAlignment="1">
      <alignment horizontal="right"/>
    </xf>
    <xf numFmtId="164" fontId="5" fillId="0" borderId="0" xfId="0" applyNumberFormat="1" applyFont="1"/>
    <xf numFmtId="164" fontId="7" fillId="0" borderId="0" xfId="0" applyNumberFormat="1" applyFont="1" applyAlignment="1">
      <alignment horizontal="right"/>
    </xf>
    <xf numFmtId="0" fontId="8" fillId="0" borderId="0" xfId="0" applyFont="1"/>
    <xf numFmtId="0" fontId="9" fillId="0" borderId="4" xfId="0" applyFont="1" applyBorder="1"/>
    <xf numFmtId="164" fontId="9" fillId="0" borderId="4" xfId="0" applyNumberFormat="1" applyFont="1" applyBorder="1"/>
    <xf numFmtId="164" fontId="8" fillId="0" borderId="4" xfId="0" applyNumberFormat="1" applyFont="1" applyBorder="1" applyAlignment="1">
      <alignment horizontal="right"/>
    </xf>
    <xf numFmtId="0" fontId="6" fillId="0" borderId="4" xfId="0" applyFont="1" applyBorder="1"/>
    <xf numFmtId="164" fontId="7" fillId="0" borderId="4" xfId="0" applyNumberFormat="1" applyFont="1" applyBorder="1" applyAlignment="1">
      <alignment horizontal="right"/>
    </xf>
    <xf numFmtId="9" fontId="9" fillId="0" borderId="4" xfId="0" applyNumberFormat="1" applyFont="1" applyBorder="1" applyAlignment="1">
      <alignment horizontal="right"/>
    </xf>
    <xf numFmtId="0" fontId="6" fillId="0" borderId="0" xfId="0" applyFont="1"/>
    <xf numFmtId="0" fontId="9" fillId="0" borderId="4" xfId="0" applyFont="1" applyBorder="1" applyAlignment="1">
      <alignment horizontal="right"/>
    </xf>
    <xf numFmtId="0" fontId="8" fillId="0" borderId="4" xfId="0" applyFont="1" applyBorder="1"/>
    <xf numFmtId="164" fontId="8" fillId="0" borderId="4" xfId="0" applyNumberFormat="1" applyFont="1" applyBorder="1"/>
    <xf numFmtId="0" fontId="10" fillId="0" borderId="4" xfId="0" applyFont="1" applyBorder="1"/>
    <xf numFmtId="0" fontId="11" fillId="0" borderId="4" xfId="0" applyFont="1" applyBorder="1"/>
    <xf numFmtId="0" fontId="9" fillId="0" borderId="0" xfId="0" applyFont="1"/>
    <xf numFmtId="164" fontId="10" fillId="0" borderId="4" xfId="0" applyNumberFormat="1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1" fillId="0" borderId="0" xfId="0" applyNumberFormat="1" applyFont="1"/>
    <xf numFmtId="0" fontId="12" fillId="0" borderId="4" xfId="0" applyFont="1" applyBorder="1"/>
    <xf numFmtId="164" fontId="13" fillId="0" borderId="4" xfId="0" applyNumberFormat="1" applyFont="1" applyBorder="1"/>
    <xf numFmtId="164" fontId="9" fillId="0" borderId="4" xfId="0" applyNumberFormat="1" applyFont="1" applyBorder="1" applyAlignment="1">
      <alignment horizontal="right"/>
    </xf>
    <xf numFmtId="164" fontId="4" fillId="0" borderId="0" xfId="0" applyNumberFormat="1" applyFont="1"/>
    <xf numFmtId="0" fontId="13" fillId="0" borderId="4" xfId="0" applyFont="1" applyBorder="1"/>
    <xf numFmtId="164" fontId="12" fillId="0" borderId="4" xfId="0" applyNumberFormat="1" applyFont="1" applyBorder="1"/>
    <xf numFmtId="10" fontId="4" fillId="0" borderId="0" xfId="0" applyNumberFormat="1" applyFont="1"/>
    <xf numFmtId="164" fontId="8" fillId="0" borderId="0" xfId="0" applyNumberFormat="1" applyFont="1" applyAlignment="1">
      <alignment horizontal="right"/>
    </xf>
    <xf numFmtId="164" fontId="11" fillId="0" borderId="4" xfId="0" applyNumberFormat="1" applyFont="1" applyBorder="1" applyAlignment="1">
      <alignment horizontal="right"/>
    </xf>
    <xf numFmtId="10" fontId="8" fillId="0" borderId="0" xfId="0" applyNumberFormat="1" applyFont="1" applyAlignment="1">
      <alignment horizontal="right"/>
    </xf>
    <xf numFmtId="164" fontId="6" fillId="0" borderId="3" xfId="0" applyNumberFormat="1" applyFont="1" applyBorder="1" applyAlignment="1">
      <alignment horizontal="right"/>
    </xf>
    <xf numFmtId="10" fontId="9" fillId="0" borderId="0" xfId="0" applyNumberFormat="1" applyFont="1"/>
    <xf numFmtId="0" fontId="9" fillId="0" borderId="5" xfId="0" applyFont="1" applyBorder="1"/>
    <xf numFmtId="0" fontId="9" fillId="0" borderId="6" xfId="0" applyFont="1" applyBorder="1" applyAlignment="1">
      <alignment horizontal="right"/>
    </xf>
    <xf numFmtId="164" fontId="8" fillId="0" borderId="6" xfId="0" applyNumberFormat="1" applyFont="1" applyBorder="1" applyAlignment="1">
      <alignment horizontal="right"/>
    </xf>
    <xf numFmtId="0" fontId="8" fillId="0" borderId="6" xfId="0" applyFont="1" applyBorder="1"/>
    <xf numFmtId="0" fontId="8" fillId="0" borderId="0" xfId="0" applyFont="1" applyAlignment="1">
      <alignment horizontal="right"/>
    </xf>
    <xf numFmtId="0" fontId="6" fillId="0" borderId="5" xfId="0" applyFont="1" applyBorder="1"/>
    <xf numFmtId="164" fontId="8" fillId="0" borderId="6" xfId="0" applyNumberFormat="1" applyFont="1" applyBorder="1"/>
    <xf numFmtId="164" fontId="7" fillId="0" borderId="6" xfId="0" applyNumberFormat="1" applyFont="1" applyBorder="1" applyAlignment="1">
      <alignment horizontal="right"/>
    </xf>
    <xf numFmtId="9" fontId="9" fillId="0" borderId="6" xfId="0" applyNumberFormat="1" applyFont="1" applyBorder="1" applyAlignment="1">
      <alignment horizontal="right"/>
    </xf>
    <xf numFmtId="0" fontId="9" fillId="0" borderId="7" xfId="0" applyFont="1" applyBorder="1"/>
    <xf numFmtId="164" fontId="6" fillId="0" borderId="6" xfId="0" applyNumberFormat="1" applyFont="1" applyBorder="1" applyAlignment="1">
      <alignment horizontal="right"/>
    </xf>
    <xf numFmtId="0" fontId="8" fillId="0" borderId="7" xfId="0" applyFont="1" applyBorder="1"/>
    <xf numFmtId="164" fontId="8" fillId="0" borderId="7" xfId="0" applyNumberFormat="1" applyFont="1" applyBorder="1"/>
    <xf numFmtId="164" fontId="3" fillId="0" borderId="0" xfId="0" applyNumberFormat="1" applyFont="1"/>
    <xf numFmtId="164" fontId="6" fillId="0" borderId="4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0" fontId="10" fillId="0" borderId="6" xfId="0" applyFont="1" applyBorder="1"/>
    <xf numFmtId="0" fontId="11" fillId="0" borderId="6" xfId="0" applyFont="1" applyBorder="1"/>
    <xf numFmtId="164" fontId="10" fillId="0" borderId="6" xfId="0" applyNumberFormat="1" applyFont="1" applyBorder="1" applyAlignment="1">
      <alignment horizontal="right"/>
    </xf>
    <xf numFmtId="164" fontId="11" fillId="0" borderId="6" xfId="0" applyNumberFormat="1" applyFont="1" applyBorder="1" applyAlignment="1">
      <alignment horizontal="right"/>
    </xf>
    <xf numFmtId="10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0" fontId="3" fillId="0" borderId="0" xfId="0" applyFont="1"/>
    <xf numFmtId="165" fontId="5" fillId="0" borderId="0" xfId="0" applyNumberFormat="1" applyFont="1"/>
    <xf numFmtId="0" fontId="1" fillId="0" borderId="0" xfId="0" applyFont="1"/>
    <xf numFmtId="2" fontId="5" fillId="0" borderId="4" xfId="0" applyNumberFormat="1" applyFont="1" applyBorder="1" applyAlignment="1">
      <alignment horizontal="right"/>
    </xf>
    <xf numFmtId="165" fontId="1" fillId="0" borderId="0" xfId="0" applyNumberFormat="1" applyFont="1"/>
    <xf numFmtId="2" fontId="5" fillId="0" borderId="4" xfId="0" applyNumberFormat="1" applyFont="1" applyBorder="1"/>
    <xf numFmtId="164" fontId="5" fillId="0" borderId="4" xfId="0" applyNumberFormat="1" applyFont="1" applyBorder="1"/>
    <xf numFmtId="0" fontId="5" fillId="2" borderId="4" xfId="0" applyFont="1" applyFill="1" applyBorder="1"/>
    <xf numFmtId="0" fontId="5" fillId="0" borderId="0" xfId="0" applyFont="1" applyAlignment="1">
      <alignment horizontal="center"/>
    </xf>
    <xf numFmtId="165" fontId="9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5" fillId="2" borderId="0" xfId="0" applyFont="1" applyFill="1"/>
    <xf numFmtId="9" fontId="5" fillId="0" borderId="0" xfId="0" applyNumberFormat="1" applyFont="1" applyAlignment="1">
      <alignment horizontal="right"/>
    </xf>
    <xf numFmtId="165" fontId="9" fillId="0" borderId="0" xfId="0" applyNumberFormat="1" applyFont="1"/>
    <xf numFmtId="165" fontId="6" fillId="0" borderId="0" xfId="0" applyNumberFormat="1" applyFont="1" applyAlignment="1">
      <alignment horizontal="right"/>
    </xf>
    <xf numFmtId="0" fontId="6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5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43"/>
  <sheetViews>
    <sheetView tabSelected="1" workbookViewId="0"/>
  </sheetViews>
  <sheetFormatPr defaultColWidth="12.5703125" defaultRowHeight="15.75" customHeight="1"/>
  <cols>
    <col min="1" max="1" width="39.28515625" customWidth="1"/>
    <col min="2" max="2" width="80.28515625" customWidth="1"/>
    <col min="3" max="3" width="12.28515625" customWidth="1"/>
    <col min="4" max="4" width="11.5703125" customWidth="1"/>
    <col min="5" max="5" width="11.42578125" customWidth="1"/>
    <col min="6" max="6" width="9.7109375" customWidth="1"/>
    <col min="9" max="9" width="29.5703125" customWidth="1"/>
    <col min="10" max="10" width="4" customWidth="1"/>
  </cols>
  <sheetData>
    <row r="1" spans="1:6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>
      <c r="A2" s="4" t="s">
        <v>6</v>
      </c>
      <c r="B2" s="2" t="s">
        <v>7</v>
      </c>
      <c r="C2" s="5">
        <v>200</v>
      </c>
      <c r="D2" s="6">
        <v>18.989999999999998</v>
      </c>
      <c r="E2" s="6" t="s">
        <v>8</v>
      </c>
      <c r="F2" s="3">
        <f t="shared" ref="F2:F79" si="0">ROUND(D2/C2,2)</f>
        <v>0.09</v>
      </c>
    </row>
    <row r="3" spans="1:6" ht="18" customHeight="1">
      <c r="A3" s="4" t="s">
        <v>9</v>
      </c>
      <c r="B3" s="2" t="s">
        <v>10</v>
      </c>
      <c r="C3" s="5">
        <v>100</v>
      </c>
      <c r="D3" s="6">
        <v>104.49</v>
      </c>
      <c r="E3" s="6" t="s">
        <v>4</v>
      </c>
      <c r="F3" s="3">
        <f t="shared" si="0"/>
        <v>1.04</v>
      </c>
    </row>
    <row r="4" spans="1:6" ht="15">
      <c r="A4" s="4" t="s">
        <v>9</v>
      </c>
      <c r="B4" s="2" t="s">
        <v>11</v>
      </c>
      <c r="C4" s="5">
        <v>50</v>
      </c>
      <c r="D4" s="6">
        <v>7.49</v>
      </c>
      <c r="E4" s="6" t="s">
        <v>12</v>
      </c>
      <c r="F4" s="3">
        <f t="shared" si="0"/>
        <v>0.15</v>
      </c>
    </row>
    <row r="5" spans="1:6" ht="15">
      <c r="A5" s="4" t="s">
        <v>6</v>
      </c>
      <c r="B5" s="2" t="s">
        <v>13</v>
      </c>
      <c r="C5" s="5">
        <v>100</v>
      </c>
      <c r="D5" s="6">
        <v>15.9</v>
      </c>
      <c r="E5" s="6" t="s">
        <v>12</v>
      </c>
      <c r="F5" s="3">
        <f t="shared" si="0"/>
        <v>0.16</v>
      </c>
    </row>
    <row r="6" spans="1:6" ht="15">
      <c r="A6" s="4" t="s">
        <v>9</v>
      </c>
      <c r="B6" s="2" t="s">
        <v>14</v>
      </c>
      <c r="C6" s="5">
        <v>10</v>
      </c>
      <c r="D6" s="6">
        <v>6.9</v>
      </c>
      <c r="E6" s="6" t="s">
        <v>12</v>
      </c>
      <c r="F6" s="3">
        <f t="shared" si="0"/>
        <v>0.69</v>
      </c>
    </row>
    <row r="7" spans="1:6" ht="15">
      <c r="A7" s="4" t="s">
        <v>6</v>
      </c>
      <c r="B7" s="2" t="s">
        <v>15</v>
      </c>
      <c r="C7" s="5">
        <v>160</v>
      </c>
      <c r="D7" s="6">
        <v>16.989999999999998</v>
      </c>
      <c r="E7" s="6" t="s">
        <v>8</v>
      </c>
      <c r="F7" s="3">
        <f t="shared" si="0"/>
        <v>0.11</v>
      </c>
    </row>
    <row r="8" spans="1:6" ht="15">
      <c r="A8" s="4" t="s">
        <v>16</v>
      </c>
      <c r="B8" s="2" t="s">
        <v>17</v>
      </c>
      <c r="C8" s="5">
        <v>100</v>
      </c>
      <c r="D8" s="6">
        <v>9.99</v>
      </c>
      <c r="E8" s="6" t="s">
        <v>12</v>
      </c>
      <c r="F8" s="3">
        <f t="shared" si="0"/>
        <v>0.1</v>
      </c>
    </row>
    <row r="9" spans="1:6" ht="15">
      <c r="A9" s="4" t="s">
        <v>16</v>
      </c>
      <c r="B9" s="2" t="s">
        <v>18</v>
      </c>
      <c r="C9" s="5">
        <v>100</v>
      </c>
      <c r="D9" s="6">
        <v>12.99</v>
      </c>
      <c r="E9" s="6" t="s">
        <v>12</v>
      </c>
      <c r="F9" s="3">
        <f t="shared" si="0"/>
        <v>0.13</v>
      </c>
    </row>
    <row r="10" spans="1:6" ht="15">
      <c r="A10" s="4" t="s">
        <v>9</v>
      </c>
      <c r="B10" s="2" t="s">
        <v>19</v>
      </c>
      <c r="C10" s="5">
        <v>100</v>
      </c>
      <c r="D10" s="6">
        <v>4.8899999999999997</v>
      </c>
      <c r="E10" s="6" t="s">
        <v>4</v>
      </c>
      <c r="F10" s="3">
        <f t="shared" si="0"/>
        <v>0.05</v>
      </c>
    </row>
    <row r="11" spans="1:6" ht="15">
      <c r="A11" s="4" t="s">
        <v>9</v>
      </c>
      <c r="B11" s="2" t="s">
        <v>20</v>
      </c>
      <c r="C11" s="5">
        <v>1</v>
      </c>
      <c r="D11" s="6">
        <v>4</v>
      </c>
      <c r="E11" s="6" t="s">
        <v>4</v>
      </c>
      <c r="F11" s="3">
        <f t="shared" si="0"/>
        <v>4</v>
      </c>
    </row>
    <row r="12" spans="1:6" ht="15">
      <c r="A12" s="4" t="s">
        <v>9</v>
      </c>
      <c r="B12" s="2" t="s">
        <v>21</v>
      </c>
      <c r="C12" s="5">
        <v>3</v>
      </c>
      <c r="D12" s="6">
        <v>21.09</v>
      </c>
      <c r="E12" s="6" t="s">
        <v>4</v>
      </c>
      <c r="F12" s="3">
        <f t="shared" si="0"/>
        <v>7.03</v>
      </c>
    </row>
    <row r="13" spans="1:6" ht="15">
      <c r="A13" s="4" t="s">
        <v>22</v>
      </c>
      <c r="B13" s="2" t="s">
        <v>23</v>
      </c>
      <c r="C13" s="5">
        <v>1</v>
      </c>
      <c r="D13" s="6">
        <v>1</v>
      </c>
      <c r="E13" s="6" t="s">
        <v>4</v>
      </c>
      <c r="F13" s="3">
        <f t="shared" si="0"/>
        <v>1</v>
      </c>
    </row>
    <row r="14" spans="1:6" ht="15">
      <c r="A14" s="4" t="s">
        <v>22</v>
      </c>
      <c r="B14" s="2" t="s">
        <v>24</v>
      </c>
      <c r="C14" s="5">
        <v>1</v>
      </c>
      <c r="D14" s="6">
        <v>0.5</v>
      </c>
      <c r="E14" s="6" t="s">
        <v>4</v>
      </c>
      <c r="F14" s="3">
        <f t="shared" si="0"/>
        <v>0.5</v>
      </c>
    </row>
    <row r="15" spans="1:6" ht="15">
      <c r="A15" s="4" t="s">
        <v>22</v>
      </c>
      <c r="B15" s="2" t="s">
        <v>25</v>
      </c>
      <c r="C15" s="5">
        <v>1</v>
      </c>
      <c r="D15" s="6">
        <v>2</v>
      </c>
      <c r="E15" s="6" t="s">
        <v>4</v>
      </c>
      <c r="F15" s="3">
        <f t="shared" si="0"/>
        <v>2</v>
      </c>
    </row>
    <row r="16" spans="1:6" ht="15">
      <c r="A16" s="4" t="s">
        <v>22</v>
      </c>
      <c r="B16" s="2" t="s">
        <v>26</v>
      </c>
      <c r="C16" s="5">
        <v>1</v>
      </c>
      <c r="D16" s="6">
        <v>3</v>
      </c>
      <c r="E16" s="6" t="s">
        <v>4</v>
      </c>
      <c r="F16" s="3">
        <f t="shared" si="0"/>
        <v>3</v>
      </c>
    </row>
    <row r="17" spans="1:6" ht="15">
      <c r="A17" s="4" t="s">
        <v>27</v>
      </c>
      <c r="B17" s="2" t="s">
        <v>28</v>
      </c>
      <c r="C17" s="5">
        <v>1</v>
      </c>
      <c r="D17" s="6">
        <v>1.5</v>
      </c>
      <c r="E17" s="6" t="s">
        <v>4</v>
      </c>
      <c r="F17" s="3">
        <f t="shared" si="0"/>
        <v>1.5</v>
      </c>
    </row>
    <row r="18" spans="1:6" ht="15">
      <c r="A18" s="4" t="s">
        <v>29</v>
      </c>
      <c r="B18" s="2" t="s">
        <v>30</v>
      </c>
      <c r="C18" s="5">
        <v>50</v>
      </c>
      <c r="D18" s="6">
        <v>25.8</v>
      </c>
      <c r="E18" s="6" t="s">
        <v>31</v>
      </c>
      <c r="F18" s="3">
        <f t="shared" si="0"/>
        <v>0.52</v>
      </c>
    </row>
    <row r="19" spans="1:6" ht="15">
      <c r="A19" s="4" t="s">
        <v>29</v>
      </c>
      <c r="B19" s="2" t="s">
        <v>32</v>
      </c>
      <c r="C19" s="5">
        <v>35</v>
      </c>
      <c r="D19" s="6">
        <v>63.9</v>
      </c>
      <c r="E19" s="6" t="s">
        <v>31</v>
      </c>
      <c r="F19" s="3">
        <f t="shared" si="0"/>
        <v>1.83</v>
      </c>
    </row>
    <row r="20" spans="1:6" ht="15">
      <c r="A20" s="4" t="s">
        <v>29</v>
      </c>
      <c r="B20" s="2" t="s">
        <v>33</v>
      </c>
      <c r="C20" s="5">
        <v>30</v>
      </c>
      <c r="D20" s="6">
        <v>119.9</v>
      </c>
      <c r="E20" s="6" t="s">
        <v>31</v>
      </c>
      <c r="F20" s="3">
        <f t="shared" si="0"/>
        <v>4</v>
      </c>
    </row>
    <row r="21" spans="1:6" ht="15">
      <c r="A21" s="4" t="s">
        <v>34</v>
      </c>
      <c r="B21" s="2" t="s">
        <v>35</v>
      </c>
      <c r="C21" s="5">
        <v>1</v>
      </c>
      <c r="D21" s="6">
        <v>1</v>
      </c>
      <c r="E21" s="6" t="s">
        <v>4</v>
      </c>
      <c r="F21" s="3">
        <f t="shared" si="0"/>
        <v>1</v>
      </c>
    </row>
    <row r="22" spans="1:6" ht="15">
      <c r="A22" s="4" t="s">
        <v>34</v>
      </c>
      <c r="B22" s="2" t="s">
        <v>36</v>
      </c>
      <c r="C22" s="5">
        <v>1</v>
      </c>
      <c r="D22" s="6">
        <v>0.5</v>
      </c>
      <c r="E22" s="6" t="s">
        <v>4</v>
      </c>
      <c r="F22" s="3">
        <f t="shared" si="0"/>
        <v>0.5</v>
      </c>
    </row>
    <row r="23" spans="1:6" ht="15">
      <c r="A23" s="4" t="s">
        <v>34</v>
      </c>
      <c r="B23" s="2" t="s">
        <v>37</v>
      </c>
      <c r="C23" s="5">
        <v>1</v>
      </c>
      <c r="D23" s="6">
        <v>0.25</v>
      </c>
      <c r="E23" s="6" t="s">
        <v>4</v>
      </c>
      <c r="F23" s="3">
        <f t="shared" si="0"/>
        <v>0.25</v>
      </c>
    </row>
    <row r="24" spans="1:6" ht="15">
      <c r="A24" s="4" t="s">
        <v>34</v>
      </c>
      <c r="B24" s="2" t="s">
        <v>38</v>
      </c>
      <c r="C24" s="5">
        <v>1</v>
      </c>
      <c r="D24" s="6">
        <v>0.13</v>
      </c>
      <c r="E24" s="6" t="s">
        <v>4</v>
      </c>
      <c r="F24" s="3">
        <f t="shared" si="0"/>
        <v>0.13</v>
      </c>
    </row>
    <row r="25" spans="1:6" ht="15">
      <c r="A25" s="4" t="s">
        <v>34</v>
      </c>
      <c r="B25" s="2" t="s">
        <v>39</v>
      </c>
      <c r="C25" s="5">
        <v>1</v>
      </c>
      <c r="D25" s="6">
        <v>0.25</v>
      </c>
      <c r="E25" s="6" t="s">
        <v>4</v>
      </c>
      <c r="F25" s="3">
        <f t="shared" si="0"/>
        <v>0.25</v>
      </c>
    </row>
    <row r="26" spans="1:6" ht="15">
      <c r="A26" s="4" t="s">
        <v>34</v>
      </c>
      <c r="B26" s="2" t="s">
        <v>40</v>
      </c>
      <c r="C26" s="5">
        <v>1</v>
      </c>
      <c r="D26" s="6">
        <v>0.03</v>
      </c>
      <c r="E26" s="6" t="s">
        <v>4</v>
      </c>
      <c r="F26" s="3">
        <f t="shared" si="0"/>
        <v>0.03</v>
      </c>
    </row>
    <row r="27" spans="1:6" ht="15">
      <c r="A27" s="4" t="s">
        <v>34</v>
      </c>
      <c r="B27" s="2" t="s">
        <v>41</v>
      </c>
      <c r="C27" s="5">
        <v>1</v>
      </c>
      <c r="D27" s="6">
        <v>0.02</v>
      </c>
      <c r="E27" s="6" t="s">
        <v>4</v>
      </c>
      <c r="F27" s="3">
        <f t="shared" si="0"/>
        <v>0.02</v>
      </c>
    </row>
    <row r="28" spans="1:6" ht="15">
      <c r="A28" s="4" t="s">
        <v>34</v>
      </c>
      <c r="B28" s="2" t="s">
        <v>42</v>
      </c>
      <c r="C28" s="5">
        <v>1</v>
      </c>
      <c r="D28" s="6">
        <v>0.12</v>
      </c>
      <c r="E28" s="6" t="s">
        <v>4</v>
      </c>
      <c r="F28" s="3">
        <f t="shared" si="0"/>
        <v>0.12</v>
      </c>
    </row>
    <row r="29" spans="1:6" ht="15">
      <c r="A29" s="4" t="s">
        <v>34</v>
      </c>
      <c r="B29" s="2" t="s">
        <v>43</v>
      </c>
      <c r="C29" s="5">
        <v>1</v>
      </c>
      <c r="D29" s="6">
        <v>0.06</v>
      </c>
      <c r="E29" s="6" t="s">
        <v>4</v>
      </c>
      <c r="F29" s="3">
        <f t="shared" si="0"/>
        <v>0.06</v>
      </c>
    </row>
    <row r="30" spans="1:6" ht="15">
      <c r="A30" s="4" t="s">
        <v>34</v>
      </c>
      <c r="B30" s="2" t="s">
        <v>44</v>
      </c>
      <c r="C30" s="5">
        <v>1</v>
      </c>
      <c r="D30" s="6">
        <v>0.03</v>
      </c>
      <c r="E30" s="6" t="s">
        <v>4</v>
      </c>
      <c r="F30" s="3">
        <f t="shared" si="0"/>
        <v>0.03</v>
      </c>
    </row>
    <row r="31" spans="1:6" ht="15">
      <c r="A31" s="4" t="s">
        <v>45</v>
      </c>
      <c r="B31" s="2" t="s">
        <v>46</v>
      </c>
      <c r="C31" s="5">
        <v>100</v>
      </c>
      <c r="D31" s="6">
        <v>44.9</v>
      </c>
      <c r="E31" s="6" t="s">
        <v>12</v>
      </c>
      <c r="F31" s="3">
        <f t="shared" si="0"/>
        <v>0.45</v>
      </c>
    </row>
    <row r="32" spans="1:6" ht="15">
      <c r="A32" s="4" t="s">
        <v>45</v>
      </c>
      <c r="B32" s="2" t="s">
        <v>47</v>
      </c>
      <c r="C32" s="5">
        <v>20</v>
      </c>
      <c r="D32" s="6">
        <v>1.7</v>
      </c>
      <c r="E32" s="6" t="s">
        <v>48</v>
      </c>
      <c r="F32" s="3">
        <f t="shared" si="0"/>
        <v>0.09</v>
      </c>
    </row>
    <row r="33" spans="1:6" ht="15">
      <c r="A33" s="4" t="s">
        <v>45</v>
      </c>
      <c r="B33" s="2" t="s">
        <v>49</v>
      </c>
      <c r="C33" s="5">
        <f>20*4</f>
        <v>80</v>
      </c>
      <c r="D33" s="6">
        <v>1.7</v>
      </c>
      <c r="E33" s="6" t="s">
        <v>50</v>
      </c>
      <c r="F33" s="3">
        <f t="shared" si="0"/>
        <v>0.02</v>
      </c>
    </row>
    <row r="34" spans="1:6" ht="15">
      <c r="A34" s="4" t="s">
        <v>51</v>
      </c>
      <c r="B34" s="2" t="s">
        <v>52</v>
      </c>
      <c r="C34" s="5">
        <v>100</v>
      </c>
      <c r="D34" s="6">
        <v>31.65</v>
      </c>
      <c r="E34" s="6" t="s">
        <v>48</v>
      </c>
      <c r="F34" s="3">
        <f t="shared" si="0"/>
        <v>0.32</v>
      </c>
    </row>
    <row r="35" spans="1:6" ht="15">
      <c r="A35" s="4" t="s">
        <v>51</v>
      </c>
      <c r="B35" s="2" t="s">
        <v>53</v>
      </c>
      <c r="C35" s="5">
        <v>100</v>
      </c>
      <c r="D35" s="6">
        <v>31.65</v>
      </c>
      <c r="E35" s="6" t="s">
        <v>48</v>
      </c>
      <c r="F35" s="3">
        <f t="shared" si="0"/>
        <v>0.32</v>
      </c>
    </row>
    <row r="36" spans="1:6" ht="15">
      <c r="A36" s="4" t="s">
        <v>51</v>
      </c>
      <c r="B36" s="2" t="s">
        <v>54</v>
      </c>
      <c r="C36" s="5">
        <f>100*2</f>
        <v>200</v>
      </c>
      <c r="D36" s="6">
        <v>31.65</v>
      </c>
      <c r="E36" s="6" t="s">
        <v>55</v>
      </c>
      <c r="F36" s="3">
        <f t="shared" si="0"/>
        <v>0.16</v>
      </c>
    </row>
    <row r="37" spans="1:6" ht="15">
      <c r="A37" s="4" t="s">
        <v>51</v>
      </c>
      <c r="B37" s="2" t="s">
        <v>56</v>
      </c>
      <c r="C37" s="5">
        <v>100</v>
      </c>
      <c r="D37" s="6">
        <v>31.65</v>
      </c>
      <c r="E37" s="6" t="s">
        <v>48</v>
      </c>
      <c r="F37" s="3">
        <f t="shared" si="0"/>
        <v>0.32</v>
      </c>
    </row>
    <row r="38" spans="1:6" ht="15">
      <c r="A38" s="4" t="s">
        <v>57</v>
      </c>
      <c r="B38" s="2" t="s">
        <v>58</v>
      </c>
      <c r="C38" s="5">
        <v>100</v>
      </c>
      <c r="D38" s="6">
        <v>42.2</v>
      </c>
      <c r="E38" s="6" t="s">
        <v>48</v>
      </c>
      <c r="F38" s="3">
        <f t="shared" si="0"/>
        <v>0.42</v>
      </c>
    </row>
    <row r="39" spans="1:6" ht="15">
      <c r="A39" s="4" t="s">
        <v>59</v>
      </c>
      <c r="B39" s="2" t="s">
        <v>60</v>
      </c>
      <c r="C39" s="5">
        <v>500</v>
      </c>
      <c r="D39" s="6">
        <v>32</v>
      </c>
      <c r="E39" s="6" t="s">
        <v>48</v>
      </c>
      <c r="F39" s="3">
        <f t="shared" si="0"/>
        <v>0.06</v>
      </c>
    </row>
    <row r="40" spans="1:6" ht="15">
      <c r="A40" s="4" t="s">
        <v>59</v>
      </c>
      <c r="B40" s="2" t="s">
        <v>61</v>
      </c>
      <c r="C40" s="5">
        <f>500*2</f>
        <v>1000</v>
      </c>
      <c r="D40" s="6">
        <v>32</v>
      </c>
      <c r="E40" s="6" t="s">
        <v>55</v>
      </c>
      <c r="F40" s="3">
        <f t="shared" si="0"/>
        <v>0.03</v>
      </c>
    </row>
    <row r="41" spans="1:6" ht="15">
      <c r="A41" s="4" t="s">
        <v>59</v>
      </c>
      <c r="B41" s="2" t="s">
        <v>62</v>
      </c>
      <c r="C41" s="5">
        <v>500</v>
      </c>
      <c r="D41" s="6">
        <v>32</v>
      </c>
      <c r="E41" s="6" t="s">
        <v>48</v>
      </c>
      <c r="F41" s="3">
        <f t="shared" si="0"/>
        <v>0.06</v>
      </c>
    </row>
    <row r="42" spans="1:6" ht="15">
      <c r="A42" s="4" t="s">
        <v>59</v>
      </c>
      <c r="B42" s="2" t="s">
        <v>63</v>
      </c>
      <c r="C42" s="5">
        <f>500*2</f>
        <v>1000</v>
      </c>
      <c r="D42" s="6">
        <v>32</v>
      </c>
      <c r="E42" s="6" t="s">
        <v>55</v>
      </c>
      <c r="F42" s="3">
        <f t="shared" si="0"/>
        <v>0.03</v>
      </c>
    </row>
    <row r="43" spans="1:6" ht="15">
      <c r="A43" s="4" t="s">
        <v>64</v>
      </c>
      <c r="B43" s="2" t="s">
        <v>65</v>
      </c>
      <c r="C43" s="5">
        <f>500*4</f>
        <v>2000</v>
      </c>
      <c r="D43" s="6">
        <v>50</v>
      </c>
      <c r="E43" s="6" t="s">
        <v>66</v>
      </c>
      <c r="F43" s="3">
        <f t="shared" si="0"/>
        <v>0.03</v>
      </c>
    </row>
    <row r="44" spans="1:6" ht="15">
      <c r="A44" s="4" t="s">
        <v>64</v>
      </c>
      <c r="B44" s="2" t="s">
        <v>67</v>
      </c>
      <c r="C44" s="5">
        <v>500</v>
      </c>
      <c r="D44" s="6">
        <v>50</v>
      </c>
      <c r="E44" s="6" t="s">
        <v>48</v>
      </c>
      <c r="F44" s="3">
        <f t="shared" si="0"/>
        <v>0.1</v>
      </c>
    </row>
    <row r="45" spans="1:6" ht="15">
      <c r="A45" s="4" t="s">
        <v>64</v>
      </c>
      <c r="B45" s="2" t="s">
        <v>68</v>
      </c>
      <c r="C45" s="5">
        <f t="shared" ref="C45:C46" si="1">500*2</f>
        <v>1000</v>
      </c>
      <c r="D45" s="6">
        <v>50</v>
      </c>
      <c r="E45" s="6" t="s">
        <v>55</v>
      </c>
      <c r="F45" s="3">
        <f t="shared" si="0"/>
        <v>0.05</v>
      </c>
    </row>
    <row r="46" spans="1:6" ht="15">
      <c r="A46" s="4" t="s">
        <v>64</v>
      </c>
      <c r="B46" s="2" t="s">
        <v>69</v>
      </c>
      <c r="C46" s="5">
        <f t="shared" si="1"/>
        <v>1000</v>
      </c>
      <c r="D46" s="6">
        <v>50</v>
      </c>
      <c r="E46" s="6" t="s">
        <v>55</v>
      </c>
      <c r="F46" s="3">
        <f t="shared" si="0"/>
        <v>0.05</v>
      </c>
    </row>
    <row r="47" spans="1:6" ht="15">
      <c r="A47" s="4" t="s">
        <v>70</v>
      </c>
      <c r="B47" s="2" t="s">
        <v>71</v>
      </c>
      <c r="C47" s="5">
        <v>40</v>
      </c>
      <c r="D47" s="6">
        <v>29.8</v>
      </c>
      <c r="E47" s="6" t="s">
        <v>48</v>
      </c>
      <c r="F47" s="3">
        <f t="shared" si="0"/>
        <v>0.75</v>
      </c>
    </row>
    <row r="48" spans="1:6" ht="15">
      <c r="A48" s="4" t="s">
        <v>70</v>
      </c>
      <c r="B48" s="2" t="s">
        <v>72</v>
      </c>
      <c r="C48" s="5">
        <v>40</v>
      </c>
      <c r="D48" s="6">
        <v>29.8</v>
      </c>
      <c r="E48" s="6" t="s">
        <v>48</v>
      </c>
      <c r="F48" s="3">
        <f t="shared" si="0"/>
        <v>0.75</v>
      </c>
    </row>
    <row r="49" spans="1:8" ht="15">
      <c r="A49" s="4" t="s">
        <v>70</v>
      </c>
      <c r="B49" s="2" t="s">
        <v>73</v>
      </c>
      <c r="C49" s="5">
        <v>40</v>
      </c>
      <c r="D49" s="6">
        <v>29.8</v>
      </c>
      <c r="E49" s="6" t="s">
        <v>48</v>
      </c>
      <c r="F49" s="3">
        <f t="shared" si="0"/>
        <v>0.75</v>
      </c>
    </row>
    <row r="50" spans="1:8" ht="15">
      <c r="A50" s="4" t="s">
        <v>70</v>
      </c>
      <c r="B50" s="2" t="s">
        <v>74</v>
      </c>
      <c r="C50" s="5">
        <v>40</v>
      </c>
      <c r="D50" s="6">
        <v>29.8</v>
      </c>
      <c r="E50" s="6" t="s">
        <v>48</v>
      </c>
      <c r="F50" s="3">
        <f t="shared" si="0"/>
        <v>0.75</v>
      </c>
    </row>
    <row r="51" spans="1:8" ht="15">
      <c r="A51" s="4" t="s">
        <v>70</v>
      </c>
      <c r="B51" s="2" t="s">
        <v>75</v>
      </c>
      <c r="C51" s="5">
        <v>40</v>
      </c>
      <c r="D51" s="6">
        <v>29.8</v>
      </c>
      <c r="E51" s="6" t="s">
        <v>48</v>
      </c>
      <c r="F51" s="3">
        <f t="shared" si="0"/>
        <v>0.75</v>
      </c>
    </row>
    <row r="52" spans="1:8" ht="15">
      <c r="A52" s="4" t="s">
        <v>70</v>
      </c>
      <c r="B52" s="2" t="s">
        <v>76</v>
      </c>
      <c r="C52" s="5">
        <v>40</v>
      </c>
      <c r="D52" s="6">
        <v>29.8</v>
      </c>
      <c r="E52" s="6" t="s">
        <v>48</v>
      </c>
      <c r="F52" s="3">
        <f t="shared" si="0"/>
        <v>0.75</v>
      </c>
    </row>
    <row r="53" spans="1:8" ht="15">
      <c r="A53" s="4" t="s">
        <v>77</v>
      </c>
      <c r="B53" s="2" t="s">
        <v>78</v>
      </c>
      <c r="C53" s="5">
        <v>20</v>
      </c>
      <c r="D53" s="6">
        <v>15.9</v>
      </c>
      <c r="E53" s="6" t="s">
        <v>48</v>
      </c>
      <c r="F53" s="3">
        <f t="shared" si="0"/>
        <v>0.8</v>
      </c>
    </row>
    <row r="54" spans="1:8" ht="15">
      <c r="A54" s="4" t="s">
        <v>79</v>
      </c>
      <c r="B54" s="2" t="s">
        <v>80</v>
      </c>
      <c r="C54" s="5">
        <v>30</v>
      </c>
      <c r="D54" s="6">
        <v>16.100000000000001</v>
      </c>
      <c r="E54" s="6" t="s">
        <v>48</v>
      </c>
      <c r="F54" s="3">
        <f t="shared" si="0"/>
        <v>0.54</v>
      </c>
      <c r="H54" s="7"/>
    </row>
    <row r="55" spans="1:8" ht="15">
      <c r="A55" s="4" t="s">
        <v>79</v>
      </c>
      <c r="B55" s="2" t="s">
        <v>81</v>
      </c>
      <c r="C55" s="5">
        <f>30*2</f>
        <v>60</v>
      </c>
      <c r="D55" s="6">
        <v>16.100000000000001</v>
      </c>
      <c r="E55" s="6" t="s">
        <v>55</v>
      </c>
      <c r="F55" s="3">
        <f t="shared" si="0"/>
        <v>0.27</v>
      </c>
      <c r="H55" s="7"/>
    </row>
    <row r="56" spans="1:8" ht="15">
      <c r="A56" s="4" t="s">
        <v>82</v>
      </c>
      <c r="B56" s="2" t="s">
        <v>83</v>
      </c>
      <c r="C56" s="5">
        <v>20</v>
      </c>
      <c r="D56" s="6">
        <v>29.9</v>
      </c>
      <c r="E56" s="6" t="s">
        <v>48</v>
      </c>
      <c r="F56" s="3">
        <f t="shared" si="0"/>
        <v>1.5</v>
      </c>
      <c r="H56" s="7"/>
    </row>
    <row r="57" spans="1:8" ht="15">
      <c r="A57" s="4" t="s">
        <v>82</v>
      </c>
      <c r="B57" s="2" t="s">
        <v>84</v>
      </c>
      <c r="C57" s="5">
        <v>20</v>
      </c>
      <c r="D57" s="6">
        <v>29.9</v>
      </c>
      <c r="E57" s="6" t="s">
        <v>48</v>
      </c>
      <c r="F57" s="3">
        <f t="shared" si="0"/>
        <v>1.5</v>
      </c>
      <c r="H57" s="7"/>
    </row>
    <row r="58" spans="1:8" ht="15">
      <c r="A58" s="4" t="s">
        <v>82</v>
      </c>
      <c r="B58" s="2" t="s">
        <v>85</v>
      </c>
      <c r="C58" s="5">
        <v>20</v>
      </c>
      <c r="D58" s="6">
        <v>29.9</v>
      </c>
      <c r="E58" s="6" t="s">
        <v>48</v>
      </c>
      <c r="F58" s="3">
        <f t="shared" si="0"/>
        <v>1.5</v>
      </c>
      <c r="H58" s="7"/>
    </row>
    <row r="59" spans="1:8" ht="15">
      <c r="A59" s="4" t="s">
        <v>82</v>
      </c>
      <c r="B59" s="2" t="s">
        <v>86</v>
      </c>
      <c r="C59" s="5">
        <v>20</v>
      </c>
      <c r="D59" s="6">
        <v>29.9</v>
      </c>
      <c r="E59" s="6" t="s">
        <v>48</v>
      </c>
      <c r="F59" s="3">
        <f t="shared" si="0"/>
        <v>1.5</v>
      </c>
      <c r="H59" s="7"/>
    </row>
    <row r="60" spans="1:8" ht="15">
      <c r="A60" s="4" t="s">
        <v>82</v>
      </c>
      <c r="B60" s="2" t="s">
        <v>87</v>
      </c>
      <c r="C60" s="5">
        <f>20*2</f>
        <v>40</v>
      </c>
      <c r="D60" s="6">
        <v>29.9</v>
      </c>
      <c r="E60" s="6" t="s">
        <v>55</v>
      </c>
      <c r="F60" s="3">
        <f t="shared" si="0"/>
        <v>0.75</v>
      </c>
      <c r="H60" s="7"/>
    </row>
    <row r="61" spans="1:8" ht="15">
      <c r="A61" s="4" t="s">
        <v>82</v>
      </c>
      <c r="B61" s="2" t="s">
        <v>88</v>
      </c>
      <c r="C61" s="5">
        <v>20</v>
      </c>
      <c r="D61" s="6">
        <v>29.9</v>
      </c>
      <c r="E61" s="6" t="s">
        <v>48</v>
      </c>
      <c r="F61" s="3">
        <f t="shared" si="0"/>
        <v>1.5</v>
      </c>
      <c r="H61" s="7"/>
    </row>
    <row r="62" spans="1:8" ht="15">
      <c r="A62" s="4" t="s">
        <v>89</v>
      </c>
      <c r="B62" s="2" t="s">
        <v>90</v>
      </c>
      <c r="C62" s="5">
        <v>1</v>
      </c>
      <c r="D62" s="6">
        <v>0</v>
      </c>
      <c r="E62" s="6" t="s">
        <v>4</v>
      </c>
      <c r="F62" s="3">
        <f t="shared" si="0"/>
        <v>0</v>
      </c>
    </row>
    <row r="63" spans="1:8" ht="15">
      <c r="A63" s="4" t="s">
        <v>34</v>
      </c>
      <c r="B63" s="2" t="s">
        <v>91</v>
      </c>
      <c r="C63" s="5">
        <v>1</v>
      </c>
      <c r="D63" s="6">
        <v>0.06</v>
      </c>
      <c r="E63" s="6" t="s">
        <v>4</v>
      </c>
      <c r="F63" s="3">
        <f t="shared" si="0"/>
        <v>0.06</v>
      </c>
    </row>
    <row r="64" spans="1:8" ht="15">
      <c r="A64" s="4" t="s">
        <v>34</v>
      </c>
      <c r="B64" s="2" t="s">
        <v>92</v>
      </c>
      <c r="C64" s="5">
        <v>1</v>
      </c>
      <c r="D64" s="6">
        <v>1</v>
      </c>
      <c r="E64" s="6" t="s">
        <v>4</v>
      </c>
      <c r="F64" s="3">
        <f t="shared" si="0"/>
        <v>1</v>
      </c>
    </row>
    <row r="65" spans="1:6" ht="15">
      <c r="A65" s="4" t="s">
        <v>82</v>
      </c>
      <c r="B65" s="2" t="s">
        <v>93</v>
      </c>
      <c r="C65" s="5">
        <v>20</v>
      </c>
      <c r="D65" s="6">
        <v>29.9</v>
      </c>
      <c r="E65" s="6" t="s">
        <v>48</v>
      </c>
      <c r="F65" s="3">
        <f t="shared" si="0"/>
        <v>1.5</v>
      </c>
    </row>
    <row r="66" spans="1:6" ht="15">
      <c r="A66" s="4" t="s">
        <v>70</v>
      </c>
      <c r="B66" s="2" t="s">
        <v>94</v>
      </c>
      <c r="C66" s="5">
        <v>40</v>
      </c>
      <c r="D66" s="6">
        <v>29.8</v>
      </c>
      <c r="E66" s="6" t="s">
        <v>48</v>
      </c>
      <c r="F66" s="3">
        <f t="shared" si="0"/>
        <v>0.75</v>
      </c>
    </row>
    <row r="67" spans="1:6" ht="15">
      <c r="A67" s="4" t="s">
        <v>82</v>
      </c>
      <c r="B67" s="2" t="s">
        <v>95</v>
      </c>
      <c r="C67" s="5">
        <f>20*4</f>
        <v>80</v>
      </c>
      <c r="D67" s="6">
        <v>29.9</v>
      </c>
      <c r="E67" s="6" t="s">
        <v>48</v>
      </c>
      <c r="F67" s="3">
        <f t="shared" si="0"/>
        <v>0.37</v>
      </c>
    </row>
    <row r="68" spans="1:6" ht="15">
      <c r="A68" s="4" t="s">
        <v>59</v>
      </c>
      <c r="B68" s="2" t="s">
        <v>96</v>
      </c>
      <c r="C68" s="5">
        <f>500*8</f>
        <v>4000</v>
      </c>
      <c r="D68" s="6">
        <v>32</v>
      </c>
      <c r="E68" s="6" t="s">
        <v>55</v>
      </c>
      <c r="F68" s="3">
        <f t="shared" si="0"/>
        <v>0.01</v>
      </c>
    </row>
    <row r="69" spans="1:6" ht="15">
      <c r="A69" s="4" t="s">
        <v>29</v>
      </c>
      <c r="B69" s="2" t="s">
        <v>97</v>
      </c>
      <c r="C69" s="5">
        <v>50</v>
      </c>
      <c r="D69" s="6">
        <v>32.200000000000003</v>
      </c>
      <c r="E69" s="6" t="s">
        <v>31</v>
      </c>
      <c r="F69" s="3">
        <f t="shared" si="0"/>
        <v>0.64</v>
      </c>
    </row>
    <row r="70" spans="1:6" ht="15">
      <c r="A70" s="4" t="s">
        <v>9</v>
      </c>
      <c r="B70" s="2" t="s">
        <v>98</v>
      </c>
      <c r="C70" s="5">
        <v>1</v>
      </c>
      <c r="D70" s="6">
        <v>32.9</v>
      </c>
      <c r="E70" s="6" t="s">
        <v>12</v>
      </c>
      <c r="F70" s="3">
        <f t="shared" si="0"/>
        <v>32.9</v>
      </c>
    </row>
    <row r="71" spans="1:6" ht="15">
      <c r="A71" s="4" t="s">
        <v>9</v>
      </c>
      <c r="B71" s="2" t="s">
        <v>99</v>
      </c>
      <c r="C71" s="5">
        <v>1</v>
      </c>
      <c r="D71" s="6">
        <f>1.7</f>
        <v>1.7</v>
      </c>
      <c r="E71" s="6" t="s">
        <v>4</v>
      </c>
      <c r="F71" s="3">
        <f t="shared" si="0"/>
        <v>1.7</v>
      </c>
    </row>
    <row r="72" spans="1:6" ht="15">
      <c r="A72" s="4" t="s">
        <v>82</v>
      </c>
      <c r="B72" s="2" t="s">
        <v>100</v>
      </c>
      <c r="C72" s="5">
        <v>20</v>
      </c>
      <c r="D72" s="6">
        <v>29.9</v>
      </c>
      <c r="E72" s="6" t="s">
        <v>48</v>
      </c>
      <c r="F72" s="3">
        <f t="shared" si="0"/>
        <v>1.5</v>
      </c>
    </row>
    <row r="73" spans="1:6" ht="15">
      <c r="A73" s="4" t="s">
        <v>70</v>
      </c>
      <c r="B73" s="2" t="s">
        <v>101</v>
      </c>
      <c r="C73" s="5">
        <v>40</v>
      </c>
      <c r="D73" s="6">
        <v>29.8</v>
      </c>
      <c r="E73" s="6" t="s">
        <v>48</v>
      </c>
      <c r="F73" s="3">
        <f t="shared" si="0"/>
        <v>0.75</v>
      </c>
    </row>
    <row r="74" spans="1:6" ht="15">
      <c r="A74" s="4" t="s">
        <v>59</v>
      </c>
      <c r="B74" s="2" t="s">
        <v>102</v>
      </c>
      <c r="C74" s="5">
        <v>500</v>
      </c>
      <c r="D74" s="6">
        <v>32</v>
      </c>
      <c r="E74" s="6" t="s">
        <v>48</v>
      </c>
      <c r="F74" s="3">
        <f t="shared" si="0"/>
        <v>0.06</v>
      </c>
    </row>
    <row r="75" spans="1:6" ht="15">
      <c r="A75" s="4" t="s">
        <v>9</v>
      </c>
      <c r="B75" s="2" t="s">
        <v>103</v>
      </c>
      <c r="C75" s="5">
        <v>1</v>
      </c>
      <c r="D75" s="6">
        <v>14.9</v>
      </c>
      <c r="E75" s="6" t="s">
        <v>12</v>
      </c>
      <c r="F75" s="3">
        <f t="shared" si="0"/>
        <v>14.9</v>
      </c>
    </row>
    <row r="76" spans="1:6" ht="15">
      <c r="A76" s="4" t="s">
        <v>104</v>
      </c>
      <c r="B76" s="2" t="s">
        <v>105</v>
      </c>
      <c r="C76" s="5">
        <v>1</v>
      </c>
      <c r="D76" s="6">
        <v>33.799999999999997</v>
      </c>
      <c r="E76" s="6" t="s">
        <v>12</v>
      </c>
      <c r="F76" s="3">
        <f t="shared" si="0"/>
        <v>33.799999999999997</v>
      </c>
    </row>
    <row r="77" spans="1:6" ht="15">
      <c r="A77" s="4" t="s">
        <v>9</v>
      </c>
      <c r="B77" s="2" t="s">
        <v>106</v>
      </c>
      <c r="C77" s="5">
        <v>200</v>
      </c>
      <c r="D77" s="6">
        <v>14.15</v>
      </c>
      <c r="E77" s="6" t="s">
        <v>107</v>
      </c>
      <c r="F77" s="3">
        <f t="shared" si="0"/>
        <v>7.0000000000000007E-2</v>
      </c>
    </row>
    <row r="78" spans="1:6" ht="15">
      <c r="A78" s="4" t="s">
        <v>9</v>
      </c>
      <c r="B78" s="2" t="s">
        <v>108</v>
      </c>
      <c r="C78" s="5">
        <v>1</v>
      </c>
      <c r="D78" s="6">
        <v>27.8</v>
      </c>
      <c r="E78" s="6" t="s">
        <v>12</v>
      </c>
      <c r="F78" s="3">
        <f t="shared" si="0"/>
        <v>27.8</v>
      </c>
    </row>
    <row r="79" spans="1:6" ht="15">
      <c r="A79" s="4" t="s">
        <v>9</v>
      </c>
      <c r="B79" s="2" t="s">
        <v>109</v>
      </c>
      <c r="C79" s="5">
        <v>20</v>
      </c>
      <c r="D79" s="6">
        <v>6.35</v>
      </c>
      <c r="E79" s="6" t="s">
        <v>12</v>
      </c>
      <c r="F79" s="3">
        <f t="shared" si="0"/>
        <v>0.32</v>
      </c>
    </row>
    <row r="80" spans="1:6" ht="15">
      <c r="A80" s="4" t="s">
        <v>9</v>
      </c>
      <c r="B80" s="2" t="s">
        <v>110</v>
      </c>
      <c r="C80" s="5">
        <v>3600</v>
      </c>
      <c r="D80" s="6">
        <v>6.7</v>
      </c>
      <c r="E80" s="6" t="s">
        <v>12</v>
      </c>
      <c r="F80" s="3">
        <v>0.1</v>
      </c>
    </row>
    <row r="81" spans="1:11" ht="15">
      <c r="A81" s="4" t="s">
        <v>9</v>
      </c>
      <c r="B81" s="2" t="s">
        <v>111</v>
      </c>
      <c r="C81" s="5">
        <v>10</v>
      </c>
      <c r="D81" s="6">
        <v>2.5</v>
      </c>
      <c r="E81" s="6" t="s">
        <v>12</v>
      </c>
      <c r="F81" s="3">
        <f t="shared" ref="F81:F121" si="2">ROUND(D81/C81,2)</f>
        <v>0.25</v>
      </c>
    </row>
    <row r="82" spans="1:11" ht="15">
      <c r="A82" s="4" t="s">
        <v>112</v>
      </c>
      <c r="B82" s="2" t="s">
        <v>112</v>
      </c>
      <c r="C82" s="5">
        <v>10</v>
      </c>
      <c r="D82" s="6">
        <v>54.9</v>
      </c>
      <c r="E82" s="6" t="s">
        <v>48</v>
      </c>
      <c r="F82" s="3">
        <f t="shared" si="2"/>
        <v>5.49</v>
      </c>
    </row>
    <row r="83" spans="1:11" ht="15">
      <c r="A83" s="4" t="s">
        <v>34</v>
      </c>
      <c r="B83" s="2" t="s">
        <v>113</v>
      </c>
      <c r="C83" s="5">
        <v>1</v>
      </c>
      <c r="D83" s="6">
        <v>0.5</v>
      </c>
      <c r="E83" s="6" t="s">
        <v>4</v>
      </c>
      <c r="F83" s="3">
        <f t="shared" si="2"/>
        <v>0.5</v>
      </c>
    </row>
    <row r="84" spans="1:11" ht="15">
      <c r="A84" s="4" t="s">
        <v>51</v>
      </c>
      <c r="B84" s="2" t="s">
        <v>114</v>
      </c>
      <c r="C84" s="5">
        <v>100</v>
      </c>
      <c r="D84" s="6">
        <v>31.65</v>
      </c>
      <c r="E84" s="6" t="s">
        <v>48</v>
      </c>
      <c r="F84" s="3">
        <f t="shared" si="2"/>
        <v>0.32</v>
      </c>
    </row>
    <row r="85" spans="1:11" ht="15">
      <c r="A85" s="4" t="s">
        <v>9</v>
      </c>
      <c r="B85" s="2" t="s">
        <v>115</v>
      </c>
      <c r="C85" s="5">
        <v>208</v>
      </c>
      <c r="D85" s="6">
        <v>28.9</v>
      </c>
      <c r="E85" s="6" t="s">
        <v>12</v>
      </c>
      <c r="F85" s="3">
        <f t="shared" si="2"/>
        <v>0.14000000000000001</v>
      </c>
    </row>
    <row r="86" spans="1:11" ht="15">
      <c r="A86" s="4" t="s">
        <v>51</v>
      </c>
      <c r="B86" s="2" t="s">
        <v>116</v>
      </c>
      <c r="C86" s="5">
        <v>100</v>
      </c>
      <c r="D86" s="6">
        <v>25.1</v>
      </c>
      <c r="E86" s="6" t="s">
        <v>48</v>
      </c>
      <c r="F86" s="3">
        <f t="shared" si="2"/>
        <v>0.25</v>
      </c>
    </row>
    <row r="87" spans="1:11" ht="15">
      <c r="A87" s="4" t="s">
        <v>9</v>
      </c>
      <c r="B87" s="2" t="s">
        <v>117</v>
      </c>
      <c r="C87" s="5">
        <v>50</v>
      </c>
      <c r="D87" s="6">
        <v>25.9</v>
      </c>
      <c r="E87" s="6" t="s">
        <v>12</v>
      </c>
      <c r="F87" s="3">
        <f t="shared" si="2"/>
        <v>0.52</v>
      </c>
    </row>
    <row r="88" spans="1:11" ht="15">
      <c r="A88" s="4" t="s">
        <v>9</v>
      </c>
      <c r="B88" s="2" t="s">
        <v>118</v>
      </c>
      <c r="C88" s="5">
        <v>8</v>
      </c>
      <c r="D88" s="6">
        <v>1.4</v>
      </c>
      <c r="E88" s="6" t="s">
        <v>12</v>
      </c>
      <c r="F88" s="3">
        <f t="shared" si="2"/>
        <v>0.18</v>
      </c>
    </row>
    <row r="89" spans="1:11" ht="15">
      <c r="A89" s="4" t="s">
        <v>119</v>
      </c>
      <c r="B89" s="2" t="s">
        <v>120</v>
      </c>
      <c r="C89" s="5">
        <v>1</v>
      </c>
      <c r="D89" s="6">
        <v>4.0999999999999996</v>
      </c>
      <c r="E89" s="6" t="s">
        <v>4</v>
      </c>
      <c r="F89" s="3">
        <f t="shared" si="2"/>
        <v>4.0999999999999996</v>
      </c>
    </row>
    <row r="90" spans="1:11" ht="15">
      <c r="A90" s="4" t="s">
        <v>121</v>
      </c>
      <c r="B90" s="2" t="s">
        <v>122</v>
      </c>
      <c r="C90" s="5">
        <f>2*0.45</f>
        <v>0.9</v>
      </c>
      <c r="D90" s="6">
        <v>13.5</v>
      </c>
      <c r="E90" s="6" t="s">
        <v>4</v>
      </c>
      <c r="F90" s="3">
        <f t="shared" si="2"/>
        <v>15</v>
      </c>
    </row>
    <row r="91" spans="1:11" ht="15">
      <c r="A91" s="4" t="s">
        <v>123</v>
      </c>
      <c r="B91" s="2" t="s">
        <v>124</v>
      </c>
      <c r="C91" s="5">
        <v>10</v>
      </c>
      <c r="D91" s="6">
        <v>11.9</v>
      </c>
      <c r="E91" s="6" t="s">
        <v>4</v>
      </c>
      <c r="F91" s="3">
        <f t="shared" si="2"/>
        <v>1.19</v>
      </c>
    </row>
    <row r="92" spans="1:11" ht="15">
      <c r="A92" s="4" t="s">
        <v>82</v>
      </c>
      <c r="B92" s="2" t="s">
        <v>125</v>
      </c>
      <c r="C92" s="5">
        <v>20</v>
      </c>
      <c r="D92" s="6">
        <v>29.9</v>
      </c>
      <c r="E92" s="6" t="s">
        <v>48</v>
      </c>
      <c r="F92" s="3">
        <f t="shared" si="2"/>
        <v>1.5</v>
      </c>
    </row>
    <row r="93" spans="1:11" ht="15">
      <c r="A93" s="4" t="s">
        <v>64</v>
      </c>
      <c r="B93" s="2" t="s">
        <v>126</v>
      </c>
      <c r="C93" s="5">
        <f>500*2</f>
        <v>1000</v>
      </c>
      <c r="D93" s="6">
        <v>50</v>
      </c>
      <c r="E93" s="6" t="s">
        <v>55</v>
      </c>
      <c r="F93" s="3">
        <f t="shared" si="2"/>
        <v>0.05</v>
      </c>
      <c r="I93" s="7"/>
      <c r="J93" s="8"/>
      <c r="K93" s="9"/>
    </row>
    <row r="94" spans="1:11" ht="15">
      <c r="A94" s="4" t="s">
        <v>9</v>
      </c>
      <c r="B94" s="2" t="s">
        <v>127</v>
      </c>
      <c r="C94" s="5">
        <v>1000</v>
      </c>
      <c r="D94" s="6">
        <v>35</v>
      </c>
      <c r="E94" s="6" t="s">
        <v>8</v>
      </c>
      <c r="F94" s="3">
        <f t="shared" si="2"/>
        <v>0.04</v>
      </c>
    </row>
    <row r="95" spans="1:11" ht="15">
      <c r="A95" s="4" t="s">
        <v>9</v>
      </c>
      <c r="B95" s="2" t="s">
        <v>128</v>
      </c>
      <c r="C95" s="5">
        <v>183</v>
      </c>
      <c r="D95" s="6">
        <v>42.9</v>
      </c>
      <c r="E95" s="6" t="s">
        <v>12</v>
      </c>
      <c r="F95" s="3">
        <f t="shared" si="2"/>
        <v>0.23</v>
      </c>
    </row>
    <row r="96" spans="1:11" ht="15">
      <c r="A96" s="4" t="s">
        <v>82</v>
      </c>
      <c r="B96" s="2" t="s">
        <v>129</v>
      </c>
      <c r="C96" s="5">
        <f>20*2</f>
        <v>40</v>
      </c>
      <c r="D96" s="6">
        <v>29.9</v>
      </c>
      <c r="E96" s="6" t="s">
        <v>55</v>
      </c>
      <c r="F96" s="3">
        <f t="shared" si="2"/>
        <v>0.75</v>
      </c>
    </row>
    <row r="97" spans="1:6" ht="15">
      <c r="A97" s="4" t="s">
        <v>70</v>
      </c>
      <c r="B97" s="2" t="s">
        <v>130</v>
      </c>
      <c r="C97" s="5">
        <v>80</v>
      </c>
      <c r="D97" s="6">
        <v>29.8</v>
      </c>
      <c r="E97" s="6" t="s">
        <v>48</v>
      </c>
      <c r="F97" s="3">
        <f t="shared" si="2"/>
        <v>0.37</v>
      </c>
    </row>
    <row r="98" spans="1:6" ht="15">
      <c r="A98" s="4" t="s">
        <v>59</v>
      </c>
      <c r="B98" s="2" t="s">
        <v>131</v>
      </c>
      <c r="C98" s="5">
        <f>500*4</f>
        <v>2000</v>
      </c>
      <c r="D98" s="6">
        <v>32</v>
      </c>
      <c r="E98" s="6" t="s">
        <v>66</v>
      </c>
      <c r="F98" s="3">
        <f t="shared" si="2"/>
        <v>0.02</v>
      </c>
    </row>
    <row r="99" spans="1:6" ht="15">
      <c r="A99" s="4" t="s">
        <v>132</v>
      </c>
      <c r="B99" s="2" t="s">
        <v>133</v>
      </c>
      <c r="C99" s="5">
        <v>9</v>
      </c>
      <c r="D99" s="6">
        <v>5.59</v>
      </c>
      <c r="E99" s="6" t="s">
        <v>48</v>
      </c>
      <c r="F99" s="3">
        <f t="shared" si="2"/>
        <v>0.62</v>
      </c>
    </row>
    <row r="100" spans="1:6" ht="15">
      <c r="A100" s="4" t="s">
        <v>51</v>
      </c>
      <c r="B100" s="2" t="s">
        <v>134</v>
      </c>
      <c r="C100" s="5">
        <v>400</v>
      </c>
      <c r="D100" s="6">
        <v>31.65</v>
      </c>
      <c r="E100" s="6" t="s">
        <v>48</v>
      </c>
      <c r="F100" s="3">
        <f t="shared" si="2"/>
        <v>0.08</v>
      </c>
    </row>
    <row r="101" spans="1:6" ht="15">
      <c r="A101" s="4" t="s">
        <v>89</v>
      </c>
      <c r="B101" s="2" t="s">
        <v>135</v>
      </c>
      <c r="C101" s="5">
        <v>1</v>
      </c>
      <c r="D101" s="6">
        <v>1.02</v>
      </c>
      <c r="E101" s="6" t="s">
        <v>4</v>
      </c>
      <c r="F101" s="3">
        <f t="shared" si="2"/>
        <v>1.02</v>
      </c>
    </row>
    <row r="102" spans="1:6" ht="15">
      <c r="A102" s="4" t="s">
        <v>136</v>
      </c>
      <c r="B102" s="2" t="s">
        <v>137</v>
      </c>
      <c r="C102" s="5">
        <v>15</v>
      </c>
      <c r="D102" s="6">
        <v>26.5</v>
      </c>
      <c r="E102" s="6" t="s">
        <v>138</v>
      </c>
      <c r="F102" s="3">
        <f t="shared" si="2"/>
        <v>1.77</v>
      </c>
    </row>
    <row r="103" spans="1:6" ht="15">
      <c r="A103" s="4" t="s">
        <v>136</v>
      </c>
      <c r="B103" s="2" t="s">
        <v>139</v>
      </c>
      <c r="C103" s="5">
        <v>21</v>
      </c>
      <c r="D103" s="6">
        <v>30.99</v>
      </c>
      <c r="E103" s="6" t="s">
        <v>138</v>
      </c>
      <c r="F103" s="3">
        <f t="shared" si="2"/>
        <v>1.48</v>
      </c>
    </row>
    <row r="104" spans="1:6" ht="15">
      <c r="A104" s="4" t="s">
        <v>9</v>
      </c>
      <c r="B104" s="2" t="s">
        <v>140</v>
      </c>
      <c r="C104" s="5">
        <v>700</v>
      </c>
      <c r="D104" s="6">
        <v>18.989999999999998</v>
      </c>
      <c r="E104" s="6" t="s">
        <v>8</v>
      </c>
      <c r="F104" s="3">
        <f t="shared" si="2"/>
        <v>0.03</v>
      </c>
    </row>
    <row r="105" spans="1:6" ht="15">
      <c r="A105" s="4" t="s">
        <v>9</v>
      </c>
      <c r="B105" s="2" t="s">
        <v>141</v>
      </c>
      <c r="C105" s="5">
        <v>147</v>
      </c>
      <c r="D105" s="6">
        <v>18.059999999999999</v>
      </c>
      <c r="E105" s="6" t="s">
        <v>8</v>
      </c>
      <c r="F105" s="3">
        <f t="shared" si="2"/>
        <v>0.12</v>
      </c>
    </row>
    <row r="106" spans="1:6" ht="15">
      <c r="A106" s="4" t="s">
        <v>51</v>
      </c>
      <c r="B106" s="2" t="s">
        <v>142</v>
      </c>
      <c r="C106" s="5">
        <v>400</v>
      </c>
      <c r="D106" s="6">
        <v>31.65</v>
      </c>
      <c r="E106" s="6" t="s">
        <v>48</v>
      </c>
      <c r="F106" s="3">
        <f t="shared" si="2"/>
        <v>0.08</v>
      </c>
    </row>
    <row r="107" spans="1:6" ht="15">
      <c r="A107" s="4" t="s">
        <v>27</v>
      </c>
      <c r="B107" s="2" t="s">
        <v>143</v>
      </c>
      <c r="C107" s="5">
        <v>1</v>
      </c>
      <c r="D107" s="6">
        <v>0.5</v>
      </c>
      <c r="E107" s="6" t="s">
        <v>4</v>
      </c>
      <c r="F107" s="3">
        <f t="shared" si="2"/>
        <v>0.5</v>
      </c>
    </row>
    <row r="108" spans="1:6" ht="15">
      <c r="A108" s="4" t="s">
        <v>144</v>
      </c>
      <c r="B108" s="2" t="s">
        <v>145</v>
      </c>
      <c r="C108" s="5">
        <v>1</v>
      </c>
      <c r="D108" s="6" t="e">
        <f>#REF!</f>
        <v>#REF!</v>
      </c>
      <c r="E108" s="6" t="s">
        <v>4</v>
      </c>
      <c r="F108" s="3" t="e">
        <f t="shared" si="2"/>
        <v>#REF!</v>
      </c>
    </row>
    <row r="109" spans="1:6" ht="15">
      <c r="A109" s="4" t="s">
        <v>146</v>
      </c>
      <c r="B109" s="2" t="s">
        <v>147</v>
      </c>
      <c r="C109" s="5">
        <v>1</v>
      </c>
      <c r="D109" s="6" t="e">
        <f>#REF!</f>
        <v>#REF!</v>
      </c>
      <c r="E109" s="6" t="s">
        <v>4</v>
      </c>
      <c r="F109" s="3" t="e">
        <f t="shared" si="2"/>
        <v>#REF!</v>
      </c>
    </row>
    <row r="110" spans="1:6" ht="15">
      <c r="A110" s="4" t="s">
        <v>136</v>
      </c>
      <c r="B110" s="2" t="s">
        <v>148</v>
      </c>
      <c r="C110" s="5">
        <v>30</v>
      </c>
      <c r="D110" s="6">
        <v>27.99</v>
      </c>
      <c r="E110" s="6" t="s">
        <v>138</v>
      </c>
      <c r="F110" s="3">
        <f t="shared" si="2"/>
        <v>0.93</v>
      </c>
    </row>
    <row r="111" spans="1:6" ht="15">
      <c r="A111" s="4" t="s">
        <v>51</v>
      </c>
      <c r="B111" s="2" t="s">
        <v>149</v>
      </c>
      <c r="C111" s="5">
        <f>100*6</f>
        <v>600</v>
      </c>
      <c r="D111" s="6">
        <v>31.65</v>
      </c>
      <c r="E111" s="6" t="s">
        <v>48</v>
      </c>
      <c r="F111" s="3">
        <f t="shared" si="2"/>
        <v>0.05</v>
      </c>
    </row>
    <row r="112" spans="1:6" ht="15">
      <c r="A112" s="4" t="s">
        <v>34</v>
      </c>
      <c r="B112" s="2" t="s">
        <v>150</v>
      </c>
      <c r="C112" s="5">
        <v>6</v>
      </c>
      <c r="D112" s="6">
        <v>0.5</v>
      </c>
      <c r="E112" s="6" t="s">
        <v>4</v>
      </c>
      <c r="F112" s="3">
        <f t="shared" si="2"/>
        <v>0.08</v>
      </c>
    </row>
    <row r="113" spans="1:6" ht="15">
      <c r="A113" s="4" t="s">
        <v>136</v>
      </c>
      <c r="B113" s="2" t="s">
        <v>151</v>
      </c>
      <c r="C113" s="5">
        <v>50</v>
      </c>
      <c r="D113" s="6">
        <v>31.99</v>
      </c>
      <c r="E113" s="6" t="s">
        <v>152</v>
      </c>
      <c r="F113" s="3">
        <f t="shared" si="2"/>
        <v>0.64</v>
      </c>
    </row>
    <row r="114" spans="1:6" ht="15">
      <c r="A114" s="4" t="s">
        <v>136</v>
      </c>
      <c r="B114" s="2" t="s">
        <v>153</v>
      </c>
      <c r="C114" s="5">
        <v>48</v>
      </c>
      <c r="D114" s="6">
        <v>55.99</v>
      </c>
      <c r="E114" s="6" t="s">
        <v>152</v>
      </c>
      <c r="F114" s="3">
        <f t="shared" si="2"/>
        <v>1.17</v>
      </c>
    </row>
    <row r="115" spans="1:6" ht="15">
      <c r="A115" s="4" t="s">
        <v>136</v>
      </c>
      <c r="B115" s="2" t="s">
        <v>154</v>
      </c>
      <c r="C115" s="5">
        <v>160</v>
      </c>
      <c r="D115" s="6">
        <v>61.65</v>
      </c>
      <c r="E115" s="6" t="s">
        <v>152</v>
      </c>
      <c r="F115" s="3">
        <f t="shared" si="2"/>
        <v>0.39</v>
      </c>
    </row>
    <row r="116" spans="1:6" ht="15">
      <c r="A116" s="4" t="s">
        <v>155</v>
      </c>
      <c r="B116" s="2" t="s">
        <v>156</v>
      </c>
      <c r="C116" s="5">
        <v>10</v>
      </c>
      <c r="D116" s="6">
        <v>13.9</v>
      </c>
      <c r="E116" s="6" t="s">
        <v>152</v>
      </c>
      <c r="F116" s="3">
        <f t="shared" si="2"/>
        <v>1.39</v>
      </c>
    </row>
    <row r="117" spans="1:6" ht="15">
      <c r="A117" s="4" t="s">
        <v>155</v>
      </c>
      <c r="B117" s="2" t="s">
        <v>157</v>
      </c>
      <c r="C117" s="5">
        <v>10</v>
      </c>
      <c r="D117" s="6">
        <v>19.7</v>
      </c>
      <c r="E117" s="6" t="s">
        <v>152</v>
      </c>
      <c r="F117" s="3">
        <f t="shared" si="2"/>
        <v>1.97</v>
      </c>
    </row>
    <row r="118" spans="1:6" ht="15">
      <c r="A118" s="4" t="s">
        <v>158</v>
      </c>
      <c r="B118" s="2" t="s">
        <v>159</v>
      </c>
      <c r="C118" s="5">
        <v>500</v>
      </c>
      <c r="D118" s="6">
        <v>50</v>
      </c>
      <c r="E118" s="6" t="s">
        <v>48</v>
      </c>
      <c r="F118" s="3">
        <f t="shared" si="2"/>
        <v>0.1</v>
      </c>
    </row>
    <row r="119" spans="1:6" ht="15">
      <c r="A119" s="4" t="s">
        <v>160</v>
      </c>
      <c r="B119" s="2" t="s">
        <v>161</v>
      </c>
      <c r="C119" s="5">
        <v>1</v>
      </c>
      <c r="D119" s="6">
        <v>26.9</v>
      </c>
      <c r="E119" s="6" t="s">
        <v>12</v>
      </c>
      <c r="F119" s="3">
        <f t="shared" si="2"/>
        <v>26.9</v>
      </c>
    </row>
    <row r="120" spans="1:6" ht="15">
      <c r="A120" s="4" t="s">
        <v>29</v>
      </c>
      <c r="B120" s="2" t="s">
        <v>162</v>
      </c>
      <c r="C120" s="5">
        <v>25</v>
      </c>
      <c r="D120" s="6">
        <v>61.9</v>
      </c>
      <c r="E120" s="6" t="s">
        <v>31</v>
      </c>
      <c r="F120" s="3">
        <f t="shared" si="2"/>
        <v>2.48</v>
      </c>
    </row>
    <row r="121" spans="1:6" ht="15">
      <c r="A121" s="4" t="s">
        <v>16</v>
      </c>
      <c r="B121" s="2" t="s">
        <v>18</v>
      </c>
      <c r="C121" s="5">
        <v>100</v>
      </c>
      <c r="D121" s="6">
        <v>12.99</v>
      </c>
      <c r="E121" s="6" t="s">
        <v>12</v>
      </c>
      <c r="F121" s="3">
        <f t="shared" si="2"/>
        <v>0.13</v>
      </c>
    </row>
    <row r="122" spans="1:6" ht="15">
      <c r="A122" s="4" t="s">
        <v>59</v>
      </c>
      <c r="B122" s="2" t="s">
        <v>163</v>
      </c>
      <c r="C122" s="5">
        <f>500*4</f>
        <v>2000</v>
      </c>
      <c r="D122" s="6">
        <v>32</v>
      </c>
      <c r="E122" s="6" t="s">
        <v>66</v>
      </c>
      <c r="F122" s="3">
        <f>ROUND(D122/C122,4)</f>
        <v>1.6E-2</v>
      </c>
    </row>
    <row r="123" spans="1:6" ht="15">
      <c r="A123" s="4" t="s">
        <v>82</v>
      </c>
      <c r="B123" s="2" t="s">
        <v>164</v>
      </c>
      <c r="C123" s="5">
        <f>20*2</f>
        <v>40</v>
      </c>
      <c r="D123" s="6">
        <v>29.9</v>
      </c>
      <c r="E123" s="6" t="s">
        <v>66</v>
      </c>
      <c r="F123" s="3">
        <f t="shared" ref="F123:F151" si="3">ROUND(D123/C123,2)</f>
        <v>0.75</v>
      </c>
    </row>
    <row r="124" spans="1:6" ht="15">
      <c r="A124" s="4" t="s">
        <v>70</v>
      </c>
      <c r="B124" s="2" t="s">
        <v>165</v>
      </c>
      <c r="C124" s="5">
        <v>200</v>
      </c>
      <c r="D124" s="6">
        <v>69.900000000000006</v>
      </c>
      <c r="E124" s="6" t="s">
        <v>48</v>
      </c>
      <c r="F124" s="3">
        <f t="shared" si="3"/>
        <v>0.35</v>
      </c>
    </row>
    <row r="125" spans="1:6" ht="15">
      <c r="A125" s="4" t="s">
        <v>9</v>
      </c>
      <c r="B125" s="2" t="s">
        <v>166</v>
      </c>
      <c r="C125" s="5">
        <v>1</v>
      </c>
      <c r="D125" s="6">
        <v>21.9</v>
      </c>
      <c r="E125" s="10" t="s">
        <v>12</v>
      </c>
      <c r="F125" s="3">
        <f t="shared" si="3"/>
        <v>21.9</v>
      </c>
    </row>
    <row r="126" spans="1:6" ht="15">
      <c r="A126" s="4" t="s">
        <v>104</v>
      </c>
      <c r="B126" s="2" t="s">
        <v>167</v>
      </c>
      <c r="C126" s="5">
        <v>1</v>
      </c>
      <c r="D126" s="6">
        <v>31</v>
      </c>
      <c r="E126" s="10" t="s">
        <v>12</v>
      </c>
      <c r="F126" s="3">
        <f t="shared" si="3"/>
        <v>31</v>
      </c>
    </row>
    <row r="127" spans="1:6" ht="15">
      <c r="A127" s="4" t="s">
        <v>89</v>
      </c>
      <c r="B127" s="2" t="s">
        <v>168</v>
      </c>
      <c r="C127" s="5">
        <v>5</v>
      </c>
      <c r="D127" s="6">
        <v>27.9</v>
      </c>
      <c r="E127" s="10" t="s">
        <v>107</v>
      </c>
      <c r="F127" s="3">
        <f t="shared" si="3"/>
        <v>5.58</v>
      </c>
    </row>
    <row r="128" spans="1:6" ht="15">
      <c r="A128" s="4" t="s">
        <v>169</v>
      </c>
      <c r="B128" s="2" t="s">
        <v>170</v>
      </c>
      <c r="C128" s="5">
        <v>1000</v>
      </c>
      <c r="D128" s="6">
        <v>18</v>
      </c>
      <c r="E128" s="6" t="s">
        <v>8</v>
      </c>
      <c r="F128" s="3">
        <f t="shared" si="3"/>
        <v>0.02</v>
      </c>
    </row>
    <row r="129" spans="1:6" ht="15">
      <c r="A129" s="4" t="s">
        <v>59</v>
      </c>
      <c r="B129" s="2" t="s">
        <v>171</v>
      </c>
      <c r="C129" s="5">
        <v>5000</v>
      </c>
      <c r="D129" s="6">
        <v>32</v>
      </c>
      <c r="E129" s="6" t="s">
        <v>172</v>
      </c>
      <c r="F129" s="3">
        <f t="shared" si="3"/>
        <v>0.01</v>
      </c>
    </row>
    <row r="130" spans="1:6" ht="15">
      <c r="A130" s="4" t="s">
        <v>9</v>
      </c>
      <c r="B130" s="2" t="s">
        <v>173</v>
      </c>
      <c r="C130" s="5">
        <v>50</v>
      </c>
      <c r="D130" s="6">
        <v>10.5</v>
      </c>
      <c r="E130" s="10" t="s">
        <v>12</v>
      </c>
      <c r="F130" s="3">
        <f t="shared" si="3"/>
        <v>0.21</v>
      </c>
    </row>
    <row r="131" spans="1:6" ht="15">
      <c r="A131" s="4" t="s">
        <v>9</v>
      </c>
      <c r="B131" s="2" t="s">
        <v>174</v>
      </c>
      <c r="C131" s="5">
        <v>1000</v>
      </c>
      <c r="D131" s="6">
        <v>18</v>
      </c>
      <c r="E131" s="6" t="s">
        <v>8</v>
      </c>
      <c r="F131" s="3">
        <f t="shared" si="3"/>
        <v>0.02</v>
      </c>
    </row>
    <row r="132" spans="1:6" ht="15">
      <c r="A132" s="4" t="s">
        <v>9</v>
      </c>
      <c r="B132" s="2" t="s">
        <v>175</v>
      </c>
      <c r="C132" s="5">
        <v>50</v>
      </c>
      <c r="D132" s="6">
        <v>5</v>
      </c>
      <c r="E132" s="6" t="s">
        <v>8</v>
      </c>
      <c r="F132" s="3">
        <f t="shared" si="3"/>
        <v>0.1</v>
      </c>
    </row>
    <row r="133" spans="1:6" ht="15">
      <c r="A133" s="4" t="s">
        <v>89</v>
      </c>
      <c r="B133" s="2" t="s">
        <v>176</v>
      </c>
      <c r="C133" s="5">
        <v>10</v>
      </c>
      <c r="D133" s="6">
        <v>44.09</v>
      </c>
      <c r="E133" s="6" t="s">
        <v>177</v>
      </c>
      <c r="F133" s="3">
        <f t="shared" si="3"/>
        <v>4.41</v>
      </c>
    </row>
    <row r="134" spans="1:6" ht="15">
      <c r="A134" s="4" t="s">
        <v>89</v>
      </c>
      <c r="B134" s="2" t="s">
        <v>178</v>
      </c>
      <c r="C134" s="5">
        <v>1</v>
      </c>
      <c r="D134" s="6">
        <v>1.19</v>
      </c>
      <c r="E134" s="6" t="s">
        <v>177</v>
      </c>
      <c r="F134" s="3">
        <f t="shared" si="3"/>
        <v>1.19</v>
      </c>
    </row>
    <row r="135" spans="1:6" ht="15">
      <c r="A135" s="4" t="s">
        <v>89</v>
      </c>
      <c r="B135" s="2" t="s">
        <v>179</v>
      </c>
      <c r="C135" s="5">
        <v>80</v>
      </c>
      <c r="D135" s="6">
        <v>25.99</v>
      </c>
      <c r="E135" s="6" t="s">
        <v>177</v>
      </c>
      <c r="F135" s="3">
        <f t="shared" si="3"/>
        <v>0.32</v>
      </c>
    </row>
    <row r="136" spans="1:6" ht="15">
      <c r="A136" s="4" t="s">
        <v>89</v>
      </c>
      <c r="B136" s="2" t="s">
        <v>180</v>
      </c>
      <c r="C136" s="5">
        <v>100</v>
      </c>
      <c r="D136" s="6">
        <v>42.51</v>
      </c>
      <c r="E136" s="6" t="s">
        <v>177</v>
      </c>
      <c r="F136" s="3">
        <f t="shared" si="3"/>
        <v>0.43</v>
      </c>
    </row>
    <row r="137" spans="1:6" ht="15">
      <c r="A137" s="4" t="s">
        <v>89</v>
      </c>
      <c r="B137" s="2" t="s">
        <v>181</v>
      </c>
      <c r="C137" s="5">
        <v>10</v>
      </c>
      <c r="D137" s="6">
        <v>19.89</v>
      </c>
      <c r="E137" s="6" t="s">
        <v>177</v>
      </c>
      <c r="F137" s="3">
        <f t="shared" si="3"/>
        <v>1.99</v>
      </c>
    </row>
    <row r="138" spans="1:6" ht="15">
      <c r="A138" s="4" t="s">
        <v>89</v>
      </c>
      <c r="B138" s="2" t="s">
        <v>182</v>
      </c>
      <c r="C138" s="5">
        <v>6</v>
      </c>
      <c r="D138" s="6">
        <v>3.95</v>
      </c>
      <c r="E138" s="6" t="s">
        <v>177</v>
      </c>
      <c r="F138" s="3">
        <f t="shared" si="3"/>
        <v>0.66</v>
      </c>
    </row>
    <row r="139" spans="1:6" ht="15">
      <c r="A139" s="4" t="s">
        <v>155</v>
      </c>
      <c r="B139" s="2" t="s">
        <v>183</v>
      </c>
      <c r="C139" s="5">
        <v>100</v>
      </c>
      <c r="D139" s="6">
        <v>27.4</v>
      </c>
      <c r="E139" s="6" t="s">
        <v>152</v>
      </c>
      <c r="F139" s="3">
        <f t="shared" si="3"/>
        <v>0.27</v>
      </c>
    </row>
    <row r="140" spans="1:6" ht="15">
      <c r="A140" s="4" t="s">
        <v>184</v>
      </c>
      <c r="B140" s="2" t="s">
        <v>185</v>
      </c>
      <c r="C140" s="5">
        <v>125</v>
      </c>
      <c r="D140" s="6">
        <v>13.7</v>
      </c>
      <c r="E140" s="6" t="s">
        <v>48</v>
      </c>
      <c r="F140" s="3">
        <f t="shared" si="3"/>
        <v>0.11</v>
      </c>
    </row>
    <row r="141" spans="1:6" ht="15">
      <c r="A141" s="4" t="s">
        <v>184</v>
      </c>
      <c r="B141" s="2" t="s">
        <v>186</v>
      </c>
      <c r="C141" s="5">
        <v>250</v>
      </c>
      <c r="D141" s="6">
        <v>13.7</v>
      </c>
      <c r="E141" s="6" t="s">
        <v>55</v>
      </c>
      <c r="F141" s="3">
        <f t="shared" si="3"/>
        <v>0.05</v>
      </c>
    </row>
    <row r="142" spans="1:6" ht="15">
      <c r="A142" s="4" t="s">
        <v>184</v>
      </c>
      <c r="B142" s="2" t="s">
        <v>187</v>
      </c>
      <c r="C142" s="5">
        <v>500</v>
      </c>
      <c r="D142" s="6">
        <v>13.7</v>
      </c>
      <c r="E142" s="6" t="s">
        <v>66</v>
      </c>
      <c r="F142" s="3">
        <f t="shared" si="3"/>
        <v>0.03</v>
      </c>
    </row>
    <row r="143" spans="1:6" ht="15">
      <c r="A143" s="4" t="s">
        <v>64</v>
      </c>
      <c r="B143" s="2" t="s">
        <v>188</v>
      </c>
      <c r="C143" s="5">
        <f>500*4</f>
        <v>2000</v>
      </c>
      <c r="D143" s="6">
        <v>50</v>
      </c>
      <c r="E143" s="6" t="s">
        <v>66</v>
      </c>
      <c r="F143" s="3">
        <f t="shared" si="3"/>
        <v>0.03</v>
      </c>
    </row>
    <row r="144" spans="1:6" ht="15">
      <c r="A144" s="4" t="s">
        <v>79</v>
      </c>
      <c r="B144" s="2" t="s">
        <v>189</v>
      </c>
      <c r="C144" s="5">
        <f>30*4</f>
        <v>120</v>
      </c>
      <c r="D144" s="6">
        <v>16.100000000000001</v>
      </c>
      <c r="E144" s="6" t="s">
        <v>55</v>
      </c>
      <c r="F144" s="3">
        <f t="shared" si="3"/>
        <v>0.13</v>
      </c>
    </row>
    <row r="145" spans="1:6" ht="15">
      <c r="A145" s="4" t="s">
        <v>89</v>
      </c>
      <c r="B145" s="2" t="s">
        <v>190</v>
      </c>
      <c r="C145" s="5">
        <v>100</v>
      </c>
      <c r="D145" s="6">
        <v>6.49</v>
      </c>
      <c r="E145" s="6" t="s">
        <v>177</v>
      </c>
      <c r="F145" s="3">
        <f t="shared" si="3"/>
        <v>0.06</v>
      </c>
    </row>
    <row r="146" spans="1:6" ht="15">
      <c r="A146" s="4" t="s">
        <v>79</v>
      </c>
      <c r="B146" s="2" t="s">
        <v>191</v>
      </c>
      <c r="C146" s="5">
        <f>30*6</f>
        <v>180</v>
      </c>
      <c r="D146" s="6">
        <v>16.100000000000001</v>
      </c>
      <c r="E146" s="6" t="s">
        <v>55</v>
      </c>
      <c r="F146" s="3">
        <f t="shared" si="3"/>
        <v>0.09</v>
      </c>
    </row>
    <row r="147" spans="1:6" ht="15">
      <c r="A147" s="4" t="s">
        <v>89</v>
      </c>
      <c r="B147" s="2" t="s">
        <v>192</v>
      </c>
      <c r="C147" s="5">
        <v>5</v>
      </c>
      <c r="D147" s="6">
        <v>35.9</v>
      </c>
      <c r="E147" s="6" t="s">
        <v>177</v>
      </c>
      <c r="F147" s="3">
        <f t="shared" si="3"/>
        <v>7.18</v>
      </c>
    </row>
    <row r="148" spans="1:6" ht="15">
      <c r="A148" s="4" t="s">
        <v>89</v>
      </c>
      <c r="B148" s="2" t="s">
        <v>193</v>
      </c>
      <c r="C148" s="5">
        <v>3</v>
      </c>
      <c r="D148" s="6">
        <v>34.9</v>
      </c>
      <c r="E148" s="6" t="s">
        <v>177</v>
      </c>
      <c r="F148" s="3">
        <f t="shared" si="3"/>
        <v>11.63</v>
      </c>
    </row>
    <row r="149" spans="1:6" ht="15">
      <c r="A149" s="4" t="s">
        <v>9</v>
      </c>
      <c r="B149" s="2" t="s">
        <v>194</v>
      </c>
      <c r="C149" s="5">
        <v>1000</v>
      </c>
      <c r="D149" s="6">
        <v>18</v>
      </c>
      <c r="E149" s="6" t="s">
        <v>8</v>
      </c>
      <c r="F149" s="3">
        <f t="shared" si="3"/>
        <v>0.02</v>
      </c>
    </row>
    <row r="150" spans="1:6" ht="15">
      <c r="A150" s="4" t="s">
        <v>34</v>
      </c>
      <c r="B150" s="2" t="s">
        <v>195</v>
      </c>
      <c r="C150" s="5">
        <v>1</v>
      </c>
      <c r="D150" s="6">
        <v>0.02</v>
      </c>
      <c r="E150" s="6" t="s">
        <v>4</v>
      </c>
      <c r="F150" s="3">
        <f t="shared" si="3"/>
        <v>0.02</v>
      </c>
    </row>
    <row r="151" spans="1:6" ht="15">
      <c r="A151" s="4" t="s">
        <v>79</v>
      </c>
      <c r="B151" s="2" t="s">
        <v>196</v>
      </c>
      <c r="C151" s="5">
        <v>240</v>
      </c>
      <c r="D151" s="6">
        <v>16.100000000000001</v>
      </c>
      <c r="E151" s="6" t="s">
        <v>55</v>
      </c>
      <c r="F151" s="3">
        <f t="shared" si="3"/>
        <v>7.0000000000000007E-2</v>
      </c>
    </row>
    <row r="152" spans="1:6" ht="15">
      <c r="A152" s="4" t="s">
        <v>59</v>
      </c>
      <c r="B152" s="2" t="s">
        <v>197</v>
      </c>
      <c r="C152" s="5">
        <f>500*16</f>
        <v>8000</v>
      </c>
      <c r="D152" s="6">
        <v>32</v>
      </c>
      <c r="E152" s="6" t="s">
        <v>66</v>
      </c>
      <c r="F152" s="3">
        <v>0.01</v>
      </c>
    </row>
    <row r="153" spans="1:6" ht="15">
      <c r="A153" s="4" t="s">
        <v>89</v>
      </c>
      <c r="B153" s="2" t="s">
        <v>198</v>
      </c>
      <c r="C153" s="5">
        <v>10</v>
      </c>
      <c r="D153" s="6">
        <v>16.899999999999999</v>
      </c>
      <c r="E153" s="6" t="s">
        <v>177</v>
      </c>
      <c r="F153" s="3">
        <f t="shared" ref="F153:F243" si="4">ROUND(D153/C153,2)</f>
        <v>1.69</v>
      </c>
    </row>
    <row r="154" spans="1:6" ht="15">
      <c r="A154" s="4" t="s">
        <v>132</v>
      </c>
      <c r="B154" s="2" t="s">
        <v>199</v>
      </c>
      <c r="C154" s="5">
        <f>9*6</f>
        <v>54</v>
      </c>
      <c r="D154" s="6">
        <v>5.59</v>
      </c>
      <c r="E154" s="6" t="s">
        <v>48</v>
      </c>
      <c r="F154" s="3">
        <f t="shared" si="4"/>
        <v>0.1</v>
      </c>
    </row>
    <row r="155" spans="1:6" ht="15">
      <c r="A155" s="4" t="s">
        <v>89</v>
      </c>
      <c r="B155" s="2" t="s">
        <v>200</v>
      </c>
      <c r="C155" s="5">
        <v>100</v>
      </c>
      <c r="D155" s="6">
        <v>37.799999999999997</v>
      </c>
      <c r="E155" s="6" t="s">
        <v>4</v>
      </c>
      <c r="F155" s="3">
        <f t="shared" si="4"/>
        <v>0.38</v>
      </c>
    </row>
    <row r="156" spans="1:6" ht="15">
      <c r="A156" s="4" t="s">
        <v>201</v>
      </c>
      <c r="B156" s="2" t="s">
        <v>202</v>
      </c>
      <c r="C156" s="5">
        <v>1</v>
      </c>
      <c r="D156" s="6">
        <v>3.3</v>
      </c>
      <c r="E156" s="10" t="s">
        <v>138</v>
      </c>
      <c r="F156" s="3">
        <f t="shared" si="4"/>
        <v>3.3</v>
      </c>
    </row>
    <row r="157" spans="1:6" ht="15">
      <c r="A157" s="4" t="s">
        <v>9</v>
      </c>
      <c r="B157" s="2" t="s">
        <v>203</v>
      </c>
      <c r="C157" s="5">
        <v>10</v>
      </c>
      <c r="D157" s="6">
        <v>4</v>
      </c>
      <c r="E157" s="10" t="s">
        <v>12</v>
      </c>
      <c r="F157" s="3">
        <f t="shared" si="4"/>
        <v>0.4</v>
      </c>
    </row>
    <row r="158" spans="1:6" ht="15">
      <c r="A158" s="4" t="s">
        <v>9</v>
      </c>
      <c r="B158" s="2" t="s">
        <v>204</v>
      </c>
      <c r="C158" s="5">
        <v>12</v>
      </c>
      <c r="D158" s="6">
        <v>21</v>
      </c>
      <c r="E158" s="10" t="s">
        <v>4</v>
      </c>
      <c r="F158" s="3">
        <f t="shared" si="4"/>
        <v>1.75</v>
      </c>
    </row>
    <row r="159" spans="1:6" ht="15">
      <c r="A159" s="4" t="s">
        <v>9</v>
      </c>
      <c r="B159" s="2" t="s">
        <v>205</v>
      </c>
      <c r="C159" s="5">
        <v>24</v>
      </c>
      <c r="D159" s="6">
        <v>70.900000000000006</v>
      </c>
      <c r="E159" s="10" t="s">
        <v>4</v>
      </c>
      <c r="F159" s="3">
        <f t="shared" si="4"/>
        <v>2.95</v>
      </c>
    </row>
    <row r="160" spans="1:6" ht="15">
      <c r="A160" s="4" t="s">
        <v>206</v>
      </c>
      <c r="B160" s="2" t="s">
        <v>207</v>
      </c>
      <c r="C160" s="5">
        <v>25</v>
      </c>
      <c r="D160" s="6">
        <v>4</v>
      </c>
      <c r="E160" s="10" t="s">
        <v>8</v>
      </c>
      <c r="F160" s="3">
        <f t="shared" si="4"/>
        <v>0.16</v>
      </c>
    </row>
    <row r="161" spans="1:6" ht="15">
      <c r="A161" s="4" t="s">
        <v>206</v>
      </c>
      <c r="B161" s="2" t="s">
        <v>208</v>
      </c>
      <c r="C161" s="5">
        <v>25</v>
      </c>
      <c r="D161" s="6">
        <v>11.8</v>
      </c>
      <c r="E161" s="10" t="s">
        <v>8</v>
      </c>
      <c r="F161" s="3">
        <f t="shared" si="4"/>
        <v>0.47</v>
      </c>
    </row>
    <row r="162" spans="1:6" ht="15">
      <c r="A162" s="4" t="s">
        <v>206</v>
      </c>
      <c r="B162" s="2" t="s">
        <v>209</v>
      </c>
      <c r="C162" s="5">
        <v>25</v>
      </c>
      <c r="D162" s="6">
        <v>4</v>
      </c>
      <c r="E162" s="10" t="s">
        <v>8</v>
      </c>
      <c r="F162" s="3">
        <f t="shared" si="4"/>
        <v>0.16</v>
      </c>
    </row>
    <row r="163" spans="1:6" ht="15">
      <c r="A163" s="4" t="s">
        <v>206</v>
      </c>
      <c r="B163" s="2" t="s">
        <v>210</v>
      </c>
      <c r="C163" s="5">
        <v>25</v>
      </c>
      <c r="D163" s="6">
        <v>4.8</v>
      </c>
      <c r="E163" s="10" t="s">
        <v>8</v>
      </c>
      <c r="F163" s="3">
        <f t="shared" si="4"/>
        <v>0.19</v>
      </c>
    </row>
    <row r="164" spans="1:6" ht="15">
      <c r="A164" s="4" t="s">
        <v>211</v>
      </c>
      <c r="B164" s="2" t="s">
        <v>212</v>
      </c>
      <c r="C164" s="5">
        <v>5</v>
      </c>
      <c r="D164" s="6">
        <v>8.6999999999999993</v>
      </c>
      <c r="E164" s="10" t="s">
        <v>4</v>
      </c>
      <c r="F164" s="3">
        <f t="shared" si="4"/>
        <v>1.74</v>
      </c>
    </row>
    <row r="165" spans="1:6" ht="15">
      <c r="A165" s="4" t="s">
        <v>211</v>
      </c>
      <c r="B165" s="2" t="s">
        <v>213</v>
      </c>
      <c r="C165" s="5">
        <v>10</v>
      </c>
      <c r="D165" s="6">
        <v>9.6999999999999993</v>
      </c>
      <c r="E165" s="10" t="s">
        <v>4</v>
      </c>
      <c r="F165" s="3">
        <f t="shared" si="4"/>
        <v>0.97</v>
      </c>
    </row>
    <row r="166" spans="1:6" ht="15">
      <c r="A166" s="4" t="s">
        <v>211</v>
      </c>
      <c r="B166" s="2" t="s">
        <v>214</v>
      </c>
      <c r="C166" s="5">
        <v>6</v>
      </c>
      <c r="D166" s="6">
        <v>5.7</v>
      </c>
      <c r="E166" s="10" t="s">
        <v>4</v>
      </c>
      <c r="F166" s="3">
        <f t="shared" si="4"/>
        <v>0.95</v>
      </c>
    </row>
    <row r="167" spans="1:6" ht="15">
      <c r="A167" s="4" t="s">
        <v>211</v>
      </c>
      <c r="B167" s="2" t="s">
        <v>215</v>
      </c>
      <c r="C167" s="5">
        <v>1</v>
      </c>
      <c r="D167" s="6">
        <v>5.9</v>
      </c>
      <c r="E167" s="10" t="s">
        <v>4</v>
      </c>
      <c r="F167" s="3">
        <f t="shared" si="4"/>
        <v>5.9</v>
      </c>
    </row>
    <row r="168" spans="1:6" ht="15">
      <c r="A168" s="4" t="s">
        <v>211</v>
      </c>
      <c r="B168" s="2" t="s">
        <v>216</v>
      </c>
      <c r="C168" s="5">
        <v>10</v>
      </c>
      <c r="D168" s="6">
        <v>8.5</v>
      </c>
      <c r="E168" s="10" t="s">
        <v>4</v>
      </c>
      <c r="F168" s="3">
        <f t="shared" si="4"/>
        <v>0.85</v>
      </c>
    </row>
    <row r="169" spans="1:6" ht="15">
      <c r="A169" s="4" t="s">
        <v>211</v>
      </c>
      <c r="B169" s="2" t="s">
        <v>217</v>
      </c>
      <c r="C169" s="5">
        <v>5</v>
      </c>
      <c r="D169" s="6">
        <v>6</v>
      </c>
      <c r="E169" s="10" t="s">
        <v>4</v>
      </c>
      <c r="F169" s="3">
        <f t="shared" si="4"/>
        <v>1.2</v>
      </c>
    </row>
    <row r="170" spans="1:6" ht="15">
      <c r="A170" s="4" t="s">
        <v>218</v>
      </c>
      <c r="B170" s="2" t="s">
        <v>219</v>
      </c>
      <c r="C170" s="5">
        <v>226</v>
      </c>
      <c r="D170" s="6">
        <v>3.8</v>
      </c>
      <c r="E170" s="10" t="s">
        <v>4</v>
      </c>
      <c r="F170" s="3">
        <f t="shared" si="4"/>
        <v>0.02</v>
      </c>
    </row>
    <row r="171" spans="1:6" ht="15">
      <c r="A171" s="4" t="s">
        <v>218</v>
      </c>
      <c r="B171" s="2" t="s">
        <v>220</v>
      </c>
      <c r="C171" s="5">
        <v>25</v>
      </c>
      <c r="D171" s="6">
        <v>5.8</v>
      </c>
      <c r="E171" s="10" t="s">
        <v>8</v>
      </c>
      <c r="F171" s="3">
        <f t="shared" si="4"/>
        <v>0.23</v>
      </c>
    </row>
    <row r="172" spans="1:6" ht="15">
      <c r="A172" s="4" t="s">
        <v>218</v>
      </c>
      <c r="B172" s="2" t="s">
        <v>221</v>
      </c>
      <c r="C172" s="5">
        <v>25</v>
      </c>
      <c r="D172" s="6">
        <v>3.6</v>
      </c>
      <c r="E172" s="10" t="s">
        <v>8</v>
      </c>
      <c r="F172" s="3">
        <f t="shared" si="4"/>
        <v>0.14000000000000001</v>
      </c>
    </row>
    <row r="173" spans="1:6" ht="15">
      <c r="A173" s="4" t="s">
        <v>222</v>
      </c>
      <c r="B173" s="2" t="s">
        <v>223</v>
      </c>
      <c r="C173" s="5">
        <v>10</v>
      </c>
      <c r="D173" s="6">
        <v>10</v>
      </c>
      <c r="E173" s="10" t="s">
        <v>4</v>
      </c>
      <c r="F173" s="3">
        <f t="shared" si="4"/>
        <v>1</v>
      </c>
    </row>
    <row r="174" spans="1:6" ht="15">
      <c r="A174" s="4" t="s">
        <v>224</v>
      </c>
      <c r="B174" s="2" t="s">
        <v>225</v>
      </c>
      <c r="C174" s="5">
        <v>140</v>
      </c>
      <c r="D174" s="6">
        <v>17.899999999999999</v>
      </c>
      <c r="E174" s="10" t="s">
        <v>4</v>
      </c>
      <c r="F174" s="3">
        <f t="shared" si="4"/>
        <v>0.13</v>
      </c>
    </row>
    <row r="175" spans="1:6" ht="15">
      <c r="A175" s="4" t="s">
        <v>123</v>
      </c>
      <c r="B175" s="2" t="s">
        <v>226</v>
      </c>
      <c r="C175" s="5">
        <v>160</v>
      </c>
      <c r="D175" s="6">
        <v>11.9</v>
      </c>
      <c r="E175" s="10" t="s">
        <v>4</v>
      </c>
      <c r="F175" s="3">
        <f t="shared" si="4"/>
        <v>7.0000000000000007E-2</v>
      </c>
    </row>
    <row r="176" spans="1:6" ht="15">
      <c r="A176" s="4" t="s">
        <v>123</v>
      </c>
      <c r="B176" s="2" t="s">
        <v>227</v>
      </c>
      <c r="C176" s="5">
        <v>420</v>
      </c>
      <c r="D176" s="6">
        <v>11.9</v>
      </c>
      <c r="E176" s="10" t="s">
        <v>4</v>
      </c>
      <c r="F176" s="3">
        <f t="shared" si="4"/>
        <v>0.03</v>
      </c>
    </row>
    <row r="177" spans="1:6" ht="15">
      <c r="A177" s="4" t="s">
        <v>123</v>
      </c>
      <c r="B177" s="2" t="s">
        <v>228</v>
      </c>
      <c r="C177" s="5">
        <v>240</v>
      </c>
      <c r="D177" s="6">
        <v>11.9</v>
      </c>
      <c r="E177" s="10" t="s">
        <v>4</v>
      </c>
      <c r="F177" s="3">
        <f t="shared" si="4"/>
        <v>0.05</v>
      </c>
    </row>
    <row r="178" spans="1:6" ht="15">
      <c r="A178" s="4" t="s">
        <v>9</v>
      </c>
      <c r="B178" s="2" t="s">
        <v>229</v>
      </c>
      <c r="C178" s="5">
        <v>10</v>
      </c>
      <c r="D178" s="6">
        <v>3.5</v>
      </c>
      <c r="E178" s="10" t="s">
        <v>4</v>
      </c>
      <c r="F178" s="3">
        <f t="shared" si="4"/>
        <v>0.35</v>
      </c>
    </row>
    <row r="179" spans="1:6" ht="15">
      <c r="A179" s="4" t="s">
        <v>16</v>
      </c>
      <c r="B179" s="2" t="s">
        <v>230</v>
      </c>
      <c r="C179" s="5">
        <v>30</v>
      </c>
      <c r="D179" s="6">
        <v>4.5</v>
      </c>
      <c r="E179" s="10" t="s">
        <v>231</v>
      </c>
      <c r="F179" s="3">
        <f t="shared" si="4"/>
        <v>0.15</v>
      </c>
    </row>
    <row r="180" spans="1:6" ht="15">
      <c r="A180" s="4" t="s">
        <v>9</v>
      </c>
      <c r="B180" s="2" t="s">
        <v>232</v>
      </c>
      <c r="C180" s="5">
        <v>100</v>
      </c>
      <c r="D180" s="6">
        <v>23.9</v>
      </c>
      <c r="E180" s="10" t="s">
        <v>4</v>
      </c>
      <c r="F180" s="3">
        <f t="shared" si="4"/>
        <v>0.24</v>
      </c>
    </row>
    <row r="181" spans="1:6" ht="15">
      <c r="A181" s="4" t="s">
        <v>16</v>
      </c>
      <c r="B181" s="2" t="s">
        <v>233</v>
      </c>
      <c r="C181" s="5">
        <v>50</v>
      </c>
      <c r="D181" s="6">
        <v>2.75</v>
      </c>
      <c r="E181" s="10" t="s">
        <v>231</v>
      </c>
      <c r="F181" s="3">
        <f t="shared" si="4"/>
        <v>0.06</v>
      </c>
    </row>
    <row r="182" spans="1:6" ht="15">
      <c r="A182" s="4" t="s">
        <v>89</v>
      </c>
      <c r="B182" s="2" t="s">
        <v>234</v>
      </c>
      <c r="C182" s="5">
        <v>1</v>
      </c>
      <c r="D182" s="6">
        <v>3.9</v>
      </c>
      <c r="E182" s="10" t="s">
        <v>4</v>
      </c>
      <c r="F182" s="3">
        <f t="shared" si="4"/>
        <v>3.9</v>
      </c>
    </row>
    <row r="183" spans="1:6" ht="15">
      <c r="A183" s="4" t="s">
        <v>89</v>
      </c>
      <c r="B183" s="2" t="s">
        <v>235</v>
      </c>
      <c r="C183" s="5">
        <v>100</v>
      </c>
      <c r="D183" s="6">
        <v>7.4</v>
      </c>
      <c r="E183" s="10" t="s">
        <v>4</v>
      </c>
      <c r="F183" s="3">
        <f t="shared" si="4"/>
        <v>7.0000000000000007E-2</v>
      </c>
    </row>
    <row r="184" spans="1:6" ht="15">
      <c r="A184" s="4" t="s">
        <v>89</v>
      </c>
      <c r="B184" s="2" t="s">
        <v>236</v>
      </c>
      <c r="C184" s="5">
        <v>1</v>
      </c>
      <c r="D184" s="6">
        <v>0.99</v>
      </c>
      <c r="E184" s="10" t="s">
        <v>4</v>
      </c>
      <c r="F184" s="3">
        <f t="shared" si="4"/>
        <v>0.99</v>
      </c>
    </row>
    <row r="185" spans="1:6" ht="15">
      <c r="A185" s="4" t="s">
        <v>89</v>
      </c>
      <c r="B185" s="2" t="s">
        <v>237</v>
      </c>
      <c r="C185" s="5">
        <v>10</v>
      </c>
      <c r="D185" s="6">
        <v>9.1999999999999993</v>
      </c>
      <c r="E185" s="10" t="s">
        <v>4</v>
      </c>
      <c r="F185" s="3">
        <f t="shared" si="4"/>
        <v>0.92</v>
      </c>
    </row>
    <row r="186" spans="1:6" ht="15">
      <c r="A186" s="4" t="s">
        <v>89</v>
      </c>
      <c r="B186" s="2" t="s">
        <v>238</v>
      </c>
      <c r="C186" s="5">
        <v>1</v>
      </c>
      <c r="D186" s="6">
        <v>9.16</v>
      </c>
      <c r="E186" s="10" t="s">
        <v>239</v>
      </c>
      <c r="F186" s="3">
        <f t="shared" si="4"/>
        <v>9.16</v>
      </c>
    </row>
    <row r="187" spans="1:6" ht="15">
      <c r="A187" s="4" t="s">
        <v>89</v>
      </c>
      <c r="B187" s="2" t="s">
        <v>240</v>
      </c>
      <c r="C187" s="5">
        <v>100</v>
      </c>
      <c r="D187" s="6">
        <v>16.989999999999998</v>
      </c>
      <c r="E187" s="10" t="s">
        <v>241</v>
      </c>
      <c r="F187" s="3">
        <f t="shared" si="4"/>
        <v>0.17</v>
      </c>
    </row>
    <row r="188" spans="1:6" ht="15">
      <c r="A188" s="4" t="s">
        <v>89</v>
      </c>
      <c r="B188" s="2" t="s">
        <v>242</v>
      </c>
      <c r="C188" s="5">
        <v>1.5</v>
      </c>
      <c r="D188" s="6">
        <v>2.59</v>
      </c>
      <c r="E188" s="10" t="s">
        <v>239</v>
      </c>
      <c r="F188" s="3">
        <f t="shared" si="4"/>
        <v>1.73</v>
      </c>
    </row>
    <row r="189" spans="1:6" ht="15">
      <c r="A189" s="4" t="s">
        <v>89</v>
      </c>
      <c r="B189" s="2" t="s">
        <v>243</v>
      </c>
      <c r="C189" s="5">
        <v>2000</v>
      </c>
      <c r="D189" s="6">
        <v>4.34</v>
      </c>
      <c r="E189" s="10" t="s">
        <v>8</v>
      </c>
      <c r="F189" s="3">
        <f t="shared" si="4"/>
        <v>0</v>
      </c>
    </row>
    <row r="190" spans="1:6" ht="15">
      <c r="A190" s="4" t="s">
        <v>89</v>
      </c>
      <c r="B190" s="2" t="s">
        <v>244</v>
      </c>
      <c r="C190" s="5">
        <v>10</v>
      </c>
      <c r="D190" s="6">
        <v>28.5</v>
      </c>
      <c r="E190" s="10" t="s">
        <v>4</v>
      </c>
      <c r="F190" s="3">
        <f t="shared" si="4"/>
        <v>2.85</v>
      </c>
    </row>
    <row r="191" spans="1:6" ht="15">
      <c r="A191" s="4" t="s">
        <v>245</v>
      </c>
      <c r="B191" s="2" t="s">
        <v>246</v>
      </c>
      <c r="C191" s="5">
        <v>12</v>
      </c>
      <c r="D191" s="6">
        <v>32.5</v>
      </c>
      <c r="E191" s="10" t="s">
        <v>4</v>
      </c>
      <c r="F191" s="3">
        <f t="shared" si="4"/>
        <v>2.71</v>
      </c>
    </row>
    <row r="192" spans="1:6" ht="15">
      <c r="A192" s="4" t="s">
        <v>82</v>
      </c>
      <c r="B192" s="2" t="s">
        <v>247</v>
      </c>
      <c r="C192" s="5">
        <v>200</v>
      </c>
      <c r="D192" s="6">
        <v>29.9</v>
      </c>
      <c r="E192" s="6" t="s">
        <v>66</v>
      </c>
      <c r="F192" s="3">
        <f t="shared" si="4"/>
        <v>0.15</v>
      </c>
    </row>
    <row r="193" spans="1:6" ht="15">
      <c r="A193" s="4" t="s">
        <v>45</v>
      </c>
      <c r="B193" s="2" t="s">
        <v>248</v>
      </c>
      <c r="C193" s="5">
        <v>5</v>
      </c>
      <c r="D193" s="6">
        <v>25.13</v>
      </c>
      <c r="E193" s="6" t="s">
        <v>231</v>
      </c>
      <c r="F193" s="3">
        <f t="shared" si="4"/>
        <v>5.03</v>
      </c>
    </row>
    <row r="194" spans="1:6" ht="15">
      <c r="A194" s="4" t="s">
        <v>45</v>
      </c>
      <c r="B194" s="2" t="s">
        <v>249</v>
      </c>
      <c r="C194" s="5">
        <f>5*12</f>
        <v>60</v>
      </c>
      <c r="D194" s="6">
        <v>25.13</v>
      </c>
      <c r="E194" s="6" t="s">
        <v>231</v>
      </c>
      <c r="F194" s="3">
        <f t="shared" si="4"/>
        <v>0.42</v>
      </c>
    </row>
    <row r="195" spans="1:6" ht="15">
      <c r="A195" s="4" t="s">
        <v>9</v>
      </c>
      <c r="B195" s="2" t="s">
        <v>250</v>
      </c>
      <c r="C195" s="5">
        <v>1</v>
      </c>
      <c r="D195" s="6">
        <v>5.5</v>
      </c>
      <c r="E195" s="6" t="s">
        <v>231</v>
      </c>
      <c r="F195" s="3">
        <f t="shared" si="4"/>
        <v>5.5</v>
      </c>
    </row>
    <row r="196" spans="1:6" ht="15">
      <c r="A196" s="4" t="s">
        <v>79</v>
      </c>
      <c r="B196" s="2" t="s">
        <v>251</v>
      </c>
      <c r="C196" s="5">
        <f>30*6</f>
        <v>180</v>
      </c>
      <c r="D196" s="6">
        <v>16.100000000000001</v>
      </c>
      <c r="E196" s="6" t="s">
        <v>55</v>
      </c>
      <c r="F196" s="3">
        <f t="shared" si="4"/>
        <v>0.09</v>
      </c>
    </row>
    <row r="197" spans="1:6" ht="15">
      <c r="A197" s="4" t="s">
        <v>158</v>
      </c>
      <c r="B197" s="2" t="s">
        <v>252</v>
      </c>
      <c r="C197" s="5">
        <v>1500</v>
      </c>
      <c r="D197" s="6">
        <v>50</v>
      </c>
      <c r="E197" s="6" t="s">
        <v>48</v>
      </c>
      <c r="F197" s="3">
        <f t="shared" si="4"/>
        <v>0.03</v>
      </c>
    </row>
    <row r="198" spans="1:6" ht="15">
      <c r="A198" s="4" t="s">
        <v>34</v>
      </c>
      <c r="B198" s="2" t="s">
        <v>253</v>
      </c>
      <c r="C198" s="5">
        <v>1</v>
      </c>
      <c r="D198" s="6">
        <v>0.02</v>
      </c>
      <c r="E198" s="6" t="s">
        <v>4</v>
      </c>
      <c r="F198" s="3">
        <f t="shared" si="4"/>
        <v>0.02</v>
      </c>
    </row>
    <row r="199" spans="1:6" ht="15">
      <c r="A199" s="4" t="s">
        <v>29</v>
      </c>
      <c r="B199" s="2" t="s">
        <v>254</v>
      </c>
      <c r="C199" s="5">
        <v>50</v>
      </c>
      <c r="D199" s="6">
        <v>21</v>
      </c>
      <c r="E199" s="6" t="s">
        <v>31</v>
      </c>
      <c r="F199" s="3">
        <f t="shared" si="4"/>
        <v>0.42</v>
      </c>
    </row>
    <row r="200" spans="1:6" ht="15">
      <c r="A200" s="4" t="s">
        <v>6</v>
      </c>
      <c r="B200" s="2" t="s">
        <v>255</v>
      </c>
      <c r="C200" s="5">
        <v>100</v>
      </c>
      <c r="D200" s="6">
        <v>16.989999999999998</v>
      </c>
      <c r="E200" s="6" t="s">
        <v>8</v>
      </c>
      <c r="F200" s="3">
        <f t="shared" si="4"/>
        <v>0.17</v>
      </c>
    </row>
    <row r="201" spans="1:6" ht="15">
      <c r="A201" s="4" t="s">
        <v>89</v>
      </c>
      <c r="B201" s="2" t="s">
        <v>256</v>
      </c>
      <c r="C201" s="5">
        <v>50</v>
      </c>
      <c r="D201" s="6">
        <v>38.799999999999997</v>
      </c>
      <c r="E201" s="6" t="s">
        <v>177</v>
      </c>
      <c r="F201" s="3">
        <f t="shared" si="4"/>
        <v>0.78</v>
      </c>
    </row>
    <row r="202" spans="1:6" ht="15">
      <c r="A202" s="4" t="s">
        <v>6</v>
      </c>
      <c r="B202" s="2" t="s">
        <v>257</v>
      </c>
      <c r="C202" s="5">
        <v>1000</v>
      </c>
      <c r="D202" s="6">
        <v>16.899999999999999</v>
      </c>
      <c r="E202" s="6" t="s">
        <v>8</v>
      </c>
      <c r="F202" s="3">
        <f t="shared" si="4"/>
        <v>0.02</v>
      </c>
    </row>
    <row r="203" spans="1:6" ht="15">
      <c r="A203" s="4" t="s">
        <v>6</v>
      </c>
      <c r="B203" s="2" t="s">
        <v>258</v>
      </c>
      <c r="C203" s="5">
        <v>2000</v>
      </c>
      <c r="D203" s="6">
        <v>57.9</v>
      </c>
      <c r="E203" s="6" t="s">
        <v>8</v>
      </c>
      <c r="F203" s="3">
        <f t="shared" si="4"/>
        <v>0.03</v>
      </c>
    </row>
    <row r="204" spans="1:6" ht="15">
      <c r="A204" s="4" t="s">
        <v>259</v>
      </c>
      <c r="B204" s="2" t="s">
        <v>260</v>
      </c>
      <c r="C204" s="5">
        <v>100</v>
      </c>
      <c r="D204" s="6">
        <v>14.83</v>
      </c>
      <c r="E204" s="6" t="s">
        <v>48</v>
      </c>
      <c r="F204" s="3">
        <f t="shared" si="4"/>
        <v>0.15</v>
      </c>
    </row>
    <row r="205" spans="1:6" ht="15">
      <c r="A205" s="4" t="s">
        <v>259</v>
      </c>
      <c r="B205" s="2" t="s">
        <v>261</v>
      </c>
      <c r="C205" s="5">
        <v>200</v>
      </c>
      <c r="D205" s="6">
        <v>14.83</v>
      </c>
      <c r="E205" s="6" t="s">
        <v>55</v>
      </c>
      <c r="F205" s="3">
        <f t="shared" si="4"/>
        <v>7.0000000000000007E-2</v>
      </c>
    </row>
    <row r="206" spans="1:6" ht="15">
      <c r="A206" s="4" t="s">
        <v>169</v>
      </c>
      <c r="B206" s="2" t="s">
        <v>262</v>
      </c>
      <c r="C206" s="5">
        <v>1000</v>
      </c>
      <c r="D206" s="6">
        <v>18</v>
      </c>
      <c r="E206" s="6" t="s">
        <v>8</v>
      </c>
      <c r="F206" s="3">
        <f t="shared" si="4"/>
        <v>0.02</v>
      </c>
    </row>
    <row r="207" spans="1:6" ht="15">
      <c r="A207" s="4" t="s">
        <v>169</v>
      </c>
      <c r="B207" s="2" t="s">
        <v>263</v>
      </c>
      <c r="C207" s="5">
        <v>1000</v>
      </c>
      <c r="D207" s="6">
        <v>18</v>
      </c>
      <c r="E207" s="6" t="s">
        <v>8</v>
      </c>
      <c r="F207" s="3">
        <f t="shared" si="4"/>
        <v>0.02</v>
      </c>
    </row>
    <row r="208" spans="1:6" ht="15">
      <c r="A208" s="4" t="s">
        <v>169</v>
      </c>
      <c r="B208" s="2" t="s">
        <v>264</v>
      </c>
      <c r="C208" s="5">
        <v>1000</v>
      </c>
      <c r="D208" s="6">
        <v>18</v>
      </c>
      <c r="E208" s="6" t="s">
        <v>8</v>
      </c>
      <c r="F208" s="3">
        <f t="shared" si="4"/>
        <v>0.02</v>
      </c>
    </row>
    <row r="209" spans="1:6" ht="15">
      <c r="A209" s="4" t="s">
        <v>169</v>
      </c>
      <c r="B209" s="2" t="s">
        <v>265</v>
      </c>
      <c r="C209" s="5">
        <v>1000</v>
      </c>
      <c r="D209" s="6">
        <v>18</v>
      </c>
      <c r="E209" s="6" t="s">
        <v>8</v>
      </c>
      <c r="F209" s="3">
        <f t="shared" si="4"/>
        <v>0.02</v>
      </c>
    </row>
    <row r="210" spans="1:6" ht="15">
      <c r="A210" s="4" t="s">
        <v>9</v>
      </c>
      <c r="B210" s="2" t="s">
        <v>266</v>
      </c>
      <c r="C210" s="5">
        <v>10</v>
      </c>
      <c r="D210" s="6">
        <v>32.99</v>
      </c>
      <c r="E210" s="6" t="s">
        <v>267</v>
      </c>
      <c r="F210" s="3">
        <f t="shared" si="4"/>
        <v>3.3</v>
      </c>
    </row>
    <row r="211" spans="1:6" ht="15">
      <c r="A211" s="4" t="s">
        <v>169</v>
      </c>
      <c r="B211" s="2" t="s">
        <v>268</v>
      </c>
      <c r="C211" s="5">
        <v>1000</v>
      </c>
      <c r="D211" s="6">
        <v>18</v>
      </c>
      <c r="E211" s="6" t="s">
        <v>8</v>
      </c>
      <c r="F211" s="3">
        <f t="shared" si="4"/>
        <v>0.02</v>
      </c>
    </row>
    <row r="212" spans="1:6" ht="15">
      <c r="A212" s="4" t="s">
        <v>169</v>
      </c>
      <c r="B212" s="2" t="s">
        <v>269</v>
      </c>
      <c r="C212" s="5">
        <v>1000</v>
      </c>
      <c r="D212" s="6">
        <v>18</v>
      </c>
      <c r="E212" s="6" t="s">
        <v>8</v>
      </c>
      <c r="F212" s="3">
        <f t="shared" si="4"/>
        <v>0.02</v>
      </c>
    </row>
    <row r="213" spans="1:6" ht="15">
      <c r="A213" s="4" t="s">
        <v>169</v>
      </c>
      <c r="B213" s="2" t="s">
        <v>270</v>
      </c>
      <c r="C213" s="5">
        <v>1000</v>
      </c>
      <c r="D213" s="6">
        <v>18</v>
      </c>
      <c r="E213" s="6" t="s">
        <v>8</v>
      </c>
      <c r="F213" s="3">
        <f t="shared" si="4"/>
        <v>0.02</v>
      </c>
    </row>
    <row r="214" spans="1:6" ht="15">
      <c r="A214" s="4" t="s">
        <v>9</v>
      </c>
      <c r="B214" s="2" t="s">
        <v>271</v>
      </c>
      <c r="C214" s="5">
        <v>20</v>
      </c>
      <c r="D214" s="6">
        <v>57.37</v>
      </c>
      <c r="E214" s="6" t="s">
        <v>267</v>
      </c>
      <c r="F214" s="3">
        <f t="shared" si="4"/>
        <v>2.87</v>
      </c>
    </row>
    <row r="215" spans="1:6" ht="15">
      <c r="A215" s="4" t="s">
        <v>272</v>
      </c>
      <c r="B215" s="2" t="s">
        <v>273</v>
      </c>
      <c r="C215" s="5">
        <v>100</v>
      </c>
      <c r="D215" s="6">
        <v>69.95</v>
      </c>
      <c r="E215" s="6" t="s">
        <v>48</v>
      </c>
      <c r="F215" s="3">
        <f t="shared" si="4"/>
        <v>0.7</v>
      </c>
    </row>
    <row r="216" spans="1:6" ht="15">
      <c r="A216" s="4" t="s">
        <v>64</v>
      </c>
      <c r="B216" s="2" t="s">
        <v>274</v>
      </c>
      <c r="C216" s="5">
        <v>500</v>
      </c>
      <c r="D216" s="6">
        <v>50</v>
      </c>
      <c r="E216" s="6" t="s">
        <v>48</v>
      </c>
      <c r="F216" s="3">
        <f t="shared" si="4"/>
        <v>0.1</v>
      </c>
    </row>
    <row r="217" spans="1:6" ht="15">
      <c r="A217" s="4" t="s">
        <v>64</v>
      </c>
      <c r="B217" s="2" t="s">
        <v>275</v>
      </c>
      <c r="C217" s="5">
        <f>500*8</f>
        <v>4000</v>
      </c>
      <c r="D217" s="6">
        <v>50</v>
      </c>
      <c r="E217" s="6" t="s">
        <v>55</v>
      </c>
      <c r="F217" s="3">
        <f t="shared" si="4"/>
        <v>0.01</v>
      </c>
    </row>
    <row r="218" spans="1:6" ht="15">
      <c r="A218" s="4" t="s">
        <v>169</v>
      </c>
      <c r="B218" s="2" t="s">
        <v>276</v>
      </c>
      <c r="C218" s="5">
        <v>1000</v>
      </c>
      <c r="D218" s="6">
        <v>18</v>
      </c>
      <c r="E218" s="6" t="s">
        <v>8</v>
      </c>
      <c r="F218" s="3">
        <f t="shared" si="4"/>
        <v>0.02</v>
      </c>
    </row>
    <row r="219" spans="1:6" ht="15">
      <c r="A219" s="4" t="s">
        <v>169</v>
      </c>
      <c r="B219" s="2" t="s">
        <v>277</v>
      </c>
      <c r="C219" s="5">
        <v>1000</v>
      </c>
      <c r="D219" s="6">
        <v>18</v>
      </c>
      <c r="E219" s="6" t="s">
        <v>8</v>
      </c>
      <c r="F219" s="3">
        <f t="shared" si="4"/>
        <v>0.02</v>
      </c>
    </row>
    <row r="220" spans="1:6" ht="15">
      <c r="A220" s="4" t="s">
        <v>9</v>
      </c>
      <c r="B220" s="2" t="s">
        <v>278</v>
      </c>
      <c r="C220" s="5">
        <v>6</v>
      </c>
      <c r="D220" s="6">
        <v>19</v>
      </c>
      <c r="E220" s="10" t="s">
        <v>4</v>
      </c>
      <c r="F220" s="3">
        <f t="shared" si="4"/>
        <v>3.17</v>
      </c>
    </row>
    <row r="221" spans="1:6" ht="15">
      <c r="A221" s="4" t="s">
        <v>9</v>
      </c>
      <c r="B221" s="2" t="s">
        <v>279</v>
      </c>
      <c r="C221" s="5">
        <v>20</v>
      </c>
      <c r="D221" s="6">
        <v>5.5</v>
      </c>
      <c r="E221" s="6" t="s">
        <v>231</v>
      </c>
      <c r="F221" s="3">
        <f t="shared" si="4"/>
        <v>0.28000000000000003</v>
      </c>
    </row>
    <row r="222" spans="1:6" ht="15">
      <c r="A222" s="4" t="s">
        <v>280</v>
      </c>
      <c r="B222" s="2" t="s">
        <v>281</v>
      </c>
      <c r="C222" s="5">
        <v>150</v>
      </c>
      <c r="D222" s="6">
        <f>2*15.9</f>
        <v>31.8</v>
      </c>
      <c r="E222" s="6" t="s">
        <v>231</v>
      </c>
      <c r="F222" s="3">
        <f t="shared" si="4"/>
        <v>0.21</v>
      </c>
    </row>
    <row r="223" spans="1:6" ht="15">
      <c r="A223" s="4" t="s">
        <v>282</v>
      </c>
      <c r="B223" s="2" t="s">
        <v>283</v>
      </c>
      <c r="C223" s="5">
        <v>1</v>
      </c>
      <c r="D223" s="6">
        <v>22.9</v>
      </c>
      <c r="E223" s="6" t="s">
        <v>231</v>
      </c>
      <c r="F223" s="3">
        <f t="shared" si="4"/>
        <v>22.9</v>
      </c>
    </row>
    <row r="224" spans="1:6" ht="15">
      <c r="A224" s="4" t="s">
        <v>282</v>
      </c>
      <c r="B224" s="2" t="s">
        <v>284</v>
      </c>
      <c r="C224" s="5">
        <v>40</v>
      </c>
      <c r="D224" s="6">
        <v>22.9</v>
      </c>
      <c r="E224" s="6" t="s">
        <v>4</v>
      </c>
      <c r="F224" s="3">
        <f t="shared" si="4"/>
        <v>0.56999999999999995</v>
      </c>
    </row>
    <row r="225" spans="1:6" ht="15">
      <c r="A225" s="4" t="s">
        <v>77</v>
      </c>
      <c r="B225" s="2" t="s">
        <v>285</v>
      </c>
      <c r="C225" s="5">
        <v>80</v>
      </c>
      <c r="D225" s="6">
        <v>15.9</v>
      </c>
      <c r="E225" s="6" t="s">
        <v>48</v>
      </c>
      <c r="F225" s="3">
        <f t="shared" si="4"/>
        <v>0.2</v>
      </c>
    </row>
    <row r="226" spans="1:6" ht="15">
      <c r="A226" s="4" t="s">
        <v>77</v>
      </c>
      <c r="B226" s="2" t="s">
        <v>286</v>
      </c>
      <c r="C226" s="5">
        <f>40*20</f>
        <v>800</v>
      </c>
      <c r="D226" s="6">
        <v>15.9</v>
      </c>
      <c r="E226" s="6" t="s">
        <v>48</v>
      </c>
      <c r="F226" s="3">
        <f t="shared" si="4"/>
        <v>0.02</v>
      </c>
    </row>
    <row r="227" spans="1:6" ht="15">
      <c r="A227" s="4" t="s">
        <v>282</v>
      </c>
      <c r="B227" s="2" t="s">
        <v>287</v>
      </c>
      <c r="C227" s="5">
        <f>40*80</f>
        <v>3200</v>
      </c>
      <c r="D227" s="6">
        <v>22.9</v>
      </c>
      <c r="E227" s="6" t="s">
        <v>4</v>
      </c>
      <c r="F227" s="3">
        <f t="shared" si="4"/>
        <v>0.01</v>
      </c>
    </row>
    <row r="228" spans="1:6" ht="15">
      <c r="A228" s="4" t="s">
        <v>34</v>
      </c>
      <c r="B228" s="2" t="s">
        <v>288</v>
      </c>
      <c r="C228" s="5">
        <v>20</v>
      </c>
      <c r="D228" s="6">
        <v>1</v>
      </c>
      <c r="E228" s="6" t="s">
        <v>4</v>
      </c>
      <c r="F228" s="3">
        <f t="shared" si="4"/>
        <v>0.05</v>
      </c>
    </row>
    <row r="229" spans="1:6" ht="15">
      <c r="A229" s="4" t="s">
        <v>289</v>
      </c>
      <c r="B229" s="2" t="s">
        <v>290</v>
      </c>
      <c r="C229" s="5">
        <v>27</v>
      </c>
      <c r="D229" s="6">
        <v>17.97</v>
      </c>
      <c r="E229" s="6" t="s">
        <v>4</v>
      </c>
      <c r="F229" s="3">
        <f t="shared" si="4"/>
        <v>0.67</v>
      </c>
    </row>
    <row r="230" spans="1:6" ht="15">
      <c r="A230" s="4" t="s">
        <v>82</v>
      </c>
      <c r="B230" s="2" t="s">
        <v>291</v>
      </c>
      <c r="C230" s="5">
        <f>20*8</f>
        <v>160</v>
      </c>
      <c r="D230" s="6">
        <v>29.9</v>
      </c>
      <c r="E230" s="6" t="s">
        <v>55</v>
      </c>
      <c r="F230" s="3">
        <f t="shared" si="4"/>
        <v>0.19</v>
      </c>
    </row>
    <row r="231" spans="1:6" ht="15">
      <c r="A231" s="4" t="s">
        <v>77</v>
      </c>
      <c r="B231" s="2" t="s">
        <v>292</v>
      </c>
      <c r="C231" s="5">
        <f>20*4</f>
        <v>80</v>
      </c>
      <c r="D231" s="6">
        <v>15.9</v>
      </c>
      <c r="E231" s="6" t="s">
        <v>48</v>
      </c>
      <c r="F231" s="3">
        <f t="shared" si="4"/>
        <v>0.2</v>
      </c>
    </row>
    <row r="232" spans="1:6" ht="15">
      <c r="A232" s="4" t="s">
        <v>70</v>
      </c>
      <c r="B232" s="2" t="s">
        <v>293</v>
      </c>
      <c r="C232" s="5">
        <f>20*8</f>
        <v>160</v>
      </c>
      <c r="D232" s="6">
        <v>29.8</v>
      </c>
      <c r="E232" s="6" t="s">
        <v>48</v>
      </c>
      <c r="F232" s="3">
        <f t="shared" si="4"/>
        <v>0.19</v>
      </c>
    </row>
    <row r="233" spans="1:6" ht="15">
      <c r="A233" s="4" t="s">
        <v>59</v>
      </c>
      <c r="B233" s="2" t="s">
        <v>294</v>
      </c>
      <c r="C233" s="5">
        <f>500*10</f>
        <v>5000</v>
      </c>
      <c r="D233" s="6">
        <v>32</v>
      </c>
      <c r="E233" s="6" t="s">
        <v>48</v>
      </c>
      <c r="F233" s="3">
        <f t="shared" si="4"/>
        <v>0.01</v>
      </c>
    </row>
    <row r="234" spans="1:6" ht="15">
      <c r="A234" s="4" t="s">
        <v>295</v>
      </c>
      <c r="B234" s="2" t="s">
        <v>296</v>
      </c>
      <c r="C234" s="5">
        <v>100</v>
      </c>
      <c r="D234" s="6">
        <v>6.89</v>
      </c>
      <c r="E234" s="6" t="s">
        <v>4</v>
      </c>
      <c r="F234" s="3">
        <f t="shared" si="4"/>
        <v>7.0000000000000007E-2</v>
      </c>
    </row>
    <row r="235" spans="1:6" ht="15">
      <c r="A235" s="4" t="s">
        <v>89</v>
      </c>
      <c r="B235" s="2" t="s">
        <v>297</v>
      </c>
      <c r="C235" s="5">
        <v>10</v>
      </c>
      <c r="D235" s="6">
        <v>2</v>
      </c>
      <c r="E235" s="6" t="s">
        <v>4</v>
      </c>
      <c r="F235" s="3">
        <f t="shared" si="4"/>
        <v>0.2</v>
      </c>
    </row>
    <row r="236" spans="1:6" ht="15">
      <c r="A236" s="4" t="s">
        <v>136</v>
      </c>
      <c r="B236" s="2" t="s">
        <v>298</v>
      </c>
      <c r="C236" s="5">
        <v>50</v>
      </c>
      <c r="D236" s="6">
        <v>8.7899999999999991</v>
      </c>
      <c r="E236" s="6" t="s">
        <v>4</v>
      </c>
      <c r="F236" s="3">
        <f t="shared" si="4"/>
        <v>0.18</v>
      </c>
    </row>
    <row r="237" spans="1:6" ht="15">
      <c r="A237" s="4" t="s">
        <v>299</v>
      </c>
      <c r="B237" s="2" t="s">
        <v>300</v>
      </c>
      <c r="C237" s="5">
        <v>50</v>
      </c>
      <c r="D237" s="6">
        <v>19.2</v>
      </c>
      <c r="E237" s="6" t="s">
        <v>48</v>
      </c>
      <c r="F237" s="3">
        <f t="shared" si="4"/>
        <v>0.38</v>
      </c>
    </row>
    <row r="238" spans="1:6" ht="15">
      <c r="A238" s="4" t="s">
        <v>104</v>
      </c>
      <c r="B238" s="2" t="s">
        <v>301</v>
      </c>
      <c r="C238" s="5">
        <v>21</v>
      </c>
      <c r="D238" s="6">
        <v>31</v>
      </c>
      <c r="E238" s="10" t="s">
        <v>12</v>
      </c>
      <c r="F238" s="3">
        <f t="shared" si="4"/>
        <v>1.48</v>
      </c>
    </row>
    <row r="239" spans="1:6" ht="15">
      <c r="A239" s="4" t="s">
        <v>104</v>
      </c>
      <c r="B239" s="2" t="s">
        <v>302</v>
      </c>
      <c r="C239" s="5">
        <v>212</v>
      </c>
      <c r="D239" s="6">
        <v>31</v>
      </c>
      <c r="E239" s="10" t="s">
        <v>12</v>
      </c>
      <c r="F239" s="3">
        <f t="shared" si="4"/>
        <v>0.15</v>
      </c>
    </row>
    <row r="240" spans="1:6" ht="15">
      <c r="A240" s="4" t="s">
        <v>6</v>
      </c>
      <c r="B240" s="2" t="s">
        <v>303</v>
      </c>
      <c r="C240" s="5">
        <v>1000</v>
      </c>
      <c r="D240" s="6">
        <v>21.89</v>
      </c>
      <c r="E240" s="6" t="s">
        <v>304</v>
      </c>
      <c r="F240" s="3">
        <f t="shared" si="4"/>
        <v>0.02</v>
      </c>
    </row>
    <row r="241" spans="1:6" ht="15">
      <c r="A241" s="4" t="s">
        <v>89</v>
      </c>
      <c r="B241" s="2" t="s">
        <v>305</v>
      </c>
      <c r="C241" s="5">
        <v>500</v>
      </c>
      <c r="D241" s="6">
        <v>5</v>
      </c>
      <c r="E241" s="6" t="s">
        <v>8</v>
      </c>
      <c r="F241" s="3">
        <f t="shared" si="4"/>
        <v>0.01</v>
      </c>
    </row>
    <row r="242" spans="1:6" ht="12.75">
      <c r="A242" s="10" t="s">
        <v>306</v>
      </c>
      <c r="B242" s="10" t="s">
        <v>307</v>
      </c>
      <c r="C242" s="10">
        <v>50</v>
      </c>
      <c r="D242" s="10">
        <v>29.9</v>
      </c>
      <c r="E242" s="10" t="s">
        <v>308</v>
      </c>
      <c r="F242" s="3">
        <f t="shared" si="4"/>
        <v>0.6</v>
      </c>
    </row>
    <row r="243" spans="1:6" ht="12.75">
      <c r="A243" s="10" t="s">
        <v>309</v>
      </c>
      <c r="B243" s="10" t="s">
        <v>310</v>
      </c>
      <c r="C243" s="10">
        <v>15</v>
      </c>
      <c r="D243" s="10">
        <v>24.5</v>
      </c>
      <c r="E243" s="10" t="s">
        <v>308</v>
      </c>
      <c r="F243" s="3">
        <f t="shared" si="4"/>
        <v>1.63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G27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7" ht="15.75" customHeight="1">
      <c r="A1" s="89" t="s">
        <v>311</v>
      </c>
      <c r="B1" s="90"/>
      <c r="C1" s="91"/>
      <c r="D1" s="11">
        <v>8</v>
      </c>
    </row>
    <row r="2" spans="1:7" ht="15.75" customHeight="1">
      <c r="A2" s="12" t="str">
        <f>Referencias!B230</f>
        <v>Papelão 5,5x7,5</v>
      </c>
      <c r="B2" s="13">
        <v>2</v>
      </c>
      <c r="C2" s="6">
        <f>Referencias!F230</f>
        <v>0.19</v>
      </c>
      <c r="D2" s="6">
        <f t="shared" ref="D2:D11" si="0">B2*C2</f>
        <v>0.38</v>
      </c>
    </row>
    <row r="3" spans="1:7" ht="15.75" customHeight="1">
      <c r="A3" s="12" t="str">
        <f>Referencias!B231</f>
        <v>Papel fotografico 8,5x10,5</v>
      </c>
      <c r="B3" s="13">
        <v>2</v>
      </c>
      <c r="C3" s="6">
        <f>Referencias!F231</f>
        <v>0.2</v>
      </c>
      <c r="D3" s="6">
        <f t="shared" si="0"/>
        <v>0.4</v>
      </c>
    </row>
    <row r="4" spans="1:7" ht="15.75" customHeight="1">
      <c r="A4" s="12" t="str">
        <f>Referencias!B31</f>
        <v>bopp</v>
      </c>
      <c r="B4" s="13">
        <v>0.08</v>
      </c>
      <c r="C4" s="6">
        <f>Referencias!F31</f>
        <v>0.45</v>
      </c>
      <c r="D4" s="6">
        <f t="shared" si="0"/>
        <v>3.6000000000000004E-2</v>
      </c>
    </row>
    <row r="5" spans="1:7" ht="15.75" customHeight="1">
      <c r="A5" s="12" t="str">
        <f>Referencias!B232</f>
        <v>Papel guarda 5x7 offset adesivo</v>
      </c>
      <c r="B5" s="13">
        <v>2</v>
      </c>
      <c r="C5" s="6">
        <f>Referencias!F232</f>
        <v>0.19</v>
      </c>
      <c r="D5" s="6">
        <f t="shared" si="0"/>
        <v>0.38</v>
      </c>
    </row>
    <row r="6" spans="1:7" ht="15.75" customHeight="1">
      <c r="A6" s="12" t="str">
        <f>Referencias!B233</f>
        <v>miolo 75gr 5x7</v>
      </c>
      <c r="B6" s="13">
        <v>70</v>
      </c>
      <c r="C6" s="6">
        <f>Referencias!F233</f>
        <v>0.01</v>
      </c>
      <c r="D6" s="6">
        <f t="shared" si="0"/>
        <v>0.70000000000000007</v>
      </c>
    </row>
    <row r="7" spans="1:7" ht="15.75" customHeight="1">
      <c r="A7" s="12" t="str">
        <f>Referencias!B69</f>
        <v>Espiral 20mm</v>
      </c>
      <c r="B7" s="13">
        <v>0.17</v>
      </c>
      <c r="C7" s="6">
        <f>Referencias!F69</f>
        <v>0.64</v>
      </c>
      <c r="D7" s="6">
        <f t="shared" si="0"/>
        <v>0.10880000000000001</v>
      </c>
      <c r="F7" s="14"/>
    </row>
    <row r="8" spans="1:7" ht="15.75" customHeight="1">
      <c r="A8" s="12" t="str">
        <f>Referencias!B22</f>
        <v>Impressao Capa A4</v>
      </c>
      <c r="B8" s="13">
        <v>1</v>
      </c>
      <c r="C8" s="6">
        <f>Referencias!F22</f>
        <v>0.5</v>
      </c>
      <c r="D8" s="6">
        <f t="shared" si="0"/>
        <v>0.5</v>
      </c>
    </row>
    <row r="9" spans="1:7" ht="15.75" customHeight="1">
      <c r="A9" s="12" t="str">
        <f>Referencias!B62</f>
        <v>Frete</v>
      </c>
      <c r="B9" s="12"/>
      <c r="C9" s="6">
        <f>Referencias!F62</f>
        <v>0</v>
      </c>
      <c r="D9" s="6">
        <f t="shared" si="0"/>
        <v>0</v>
      </c>
    </row>
    <row r="10" spans="1:7" ht="15.75" customHeight="1">
      <c r="A10" s="12" t="str">
        <f>Referencias!B14</f>
        <v>Desgaste Bloquinho/Outros</v>
      </c>
      <c r="B10" s="13">
        <v>1</v>
      </c>
      <c r="C10" s="6">
        <f>Referencias!F14</f>
        <v>0.5</v>
      </c>
      <c r="D10" s="6">
        <f t="shared" si="0"/>
        <v>0.5</v>
      </c>
    </row>
    <row r="11" spans="1:7" ht="15.75" customHeight="1">
      <c r="A11" s="12" t="str">
        <f>Referencias!B17</f>
        <v>Embalagem Padrão</v>
      </c>
      <c r="B11" s="13">
        <v>1</v>
      </c>
      <c r="C11" s="6">
        <f>Referencias!F17</f>
        <v>1.5</v>
      </c>
      <c r="D11" s="6">
        <f t="shared" si="0"/>
        <v>1.5</v>
      </c>
    </row>
    <row r="12" spans="1:7" ht="15.75" customHeight="1">
      <c r="A12" s="2" t="s">
        <v>312</v>
      </c>
      <c r="B12" s="12"/>
      <c r="C12" s="6"/>
      <c r="D12" s="3">
        <f>SUM(D2:D11)</f>
        <v>4.5048000000000004</v>
      </c>
    </row>
    <row r="13" spans="1:7" ht="15.75" customHeight="1">
      <c r="A13" s="2" t="s">
        <v>313</v>
      </c>
      <c r="B13" s="15">
        <v>0.55000000000000004</v>
      </c>
      <c r="C13" s="6">
        <f>D12*B13</f>
        <v>2.4776400000000005</v>
      </c>
      <c r="D13" s="3">
        <f>D12+C13</f>
        <v>6.9824400000000004</v>
      </c>
      <c r="E13" s="92"/>
      <c r="F13" s="93"/>
      <c r="G13" s="93"/>
    </row>
    <row r="14" spans="1:7" ht="15.75" customHeight="1">
      <c r="A14" s="2" t="s">
        <v>314</v>
      </c>
      <c r="B14" s="12"/>
      <c r="C14" s="10"/>
      <c r="D14" s="10"/>
      <c r="E14" s="7"/>
      <c r="F14" s="7"/>
      <c r="G14" s="7"/>
    </row>
    <row r="15" spans="1:7" ht="15.75" customHeight="1">
      <c r="A15" s="2" t="s">
        <v>315</v>
      </c>
      <c r="B15" s="12"/>
      <c r="C15" s="10"/>
      <c r="D15" s="11">
        <v>10</v>
      </c>
      <c r="E15" s="16"/>
      <c r="F15" s="16"/>
      <c r="G15" s="16"/>
    </row>
    <row r="17" spans="1:7" ht="15.75" customHeight="1">
      <c r="A17" s="89" t="s">
        <v>316</v>
      </c>
      <c r="B17" s="90"/>
      <c r="C17" s="91"/>
      <c r="D17" s="11">
        <v>2</v>
      </c>
    </row>
    <row r="18" spans="1:7" ht="15.75" customHeight="1">
      <c r="A18" s="12" t="str">
        <f>Referencias!B236</f>
        <v>Pirulito Florestal Coração Vermelho</v>
      </c>
      <c r="B18" s="13">
        <v>1</v>
      </c>
      <c r="C18" s="6">
        <f>Referencias!F236</f>
        <v>0.18</v>
      </c>
      <c r="D18" s="6">
        <f t="shared" ref="D18:D23" si="1">B18*C18</f>
        <v>0.18</v>
      </c>
    </row>
    <row r="19" spans="1:7" ht="15.75" customHeight="1">
      <c r="A19" s="12" t="str">
        <f>Referencias!B111</f>
        <v>Card OffSet 180gr</v>
      </c>
      <c r="B19" s="13">
        <v>1</v>
      </c>
      <c r="C19" s="6">
        <f>Referencias!F111</f>
        <v>0.05</v>
      </c>
      <c r="D19" s="6">
        <f t="shared" si="1"/>
        <v>0.05</v>
      </c>
    </row>
    <row r="20" spans="1:7" ht="15.75" customHeight="1">
      <c r="A20" s="12" t="str">
        <f>Referencias!B112</f>
        <v>Impressao Card</v>
      </c>
      <c r="B20" s="13">
        <v>1</v>
      </c>
      <c r="C20" s="6">
        <f>Referencias!F112</f>
        <v>0.08</v>
      </c>
      <c r="D20" s="6">
        <f t="shared" si="1"/>
        <v>0.08</v>
      </c>
    </row>
    <row r="21" spans="1:7" ht="15.75" customHeight="1">
      <c r="A21" s="12" t="str">
        <f>Referencias!B62</f>
        <v>Frete</v>
      </c>
      <c r="B21" s="12"/>
      <c r="C21" s="6">
        <f>Referencias!F62</f>
        <v>0</v>
      </c>
      <c r="D21" s="6">
        <f t="shared" si="1"/>
        <v>0</v>
      </c>
    </row>
    <row r="22" spans="1:7" ht="15.75" customHeight="1">
      <c r="A22" s="12" t="str">
        <f>Referencias!B14</f>
        <v>Desgaste Bloquinho/Outros</v>
      </c>
      <c r="B22" s="13">
        <v>1</v>
      </c>
      <c r="C22" s="6">
        <f>Referencias!F14</f>
        <v>0.5</v>
      </c>
      <c r="D22" s="6">
        <f t="shared" si="1"/>
        <v>0.5</v>
      </c>
    </row>
    <row r="23" spans="1:7" ht="15.75" customHeight="1">
      <c r="A23" s="12" t="str">
        <f>Referencias!B107</f>
        <v>Embalagem Atacado</v>
      </c>
      <c r="B23" s="13">
        <v>1</v>
      </c>
      <c r="C23" s="6">
        <f>Referencias!F107</f>
        <v>0.5</v>
      </c>
      <c r="D23" s="6">
        <f t="shared" si="1"/>
        <v>0.5</v>
      </c>
    </row>
    <row r="24" spans="1:7" ht="15.75" customHeight="1">
      <c r="A24" s="2" t="s">
        <v>312</v>
      </c>
      <c r="B24" s="12"/>
      <c r="C24" s="6"/>
      <c r="D24" s="3">
        <f>SUM(D18:D23)</f>
        <v>1.31</v>
      </c>
    </row>
    <row r="25" spans="1:7" ht="15.75" customHeight="1">
      <c r="A25" s="2" t="s">
        <v>313</v>
      </c>
      <c r="B25" s="15">
        <v>0.55000000000000004</v>
      </c>
      <c r="C25" s="6">
        <f>D24*B25</f>
        <v>0.72050000000000014</v>
      </c>
      <c r="D25" s="3">
        <f>D24+C25</f>
        <v>2.0305</v>
      </c>
      <c r="E25" s="92"/>
      <c r="F25" s="93"/>
      <c r="G25" s="93"/>
    </row>
    <row r="26" spans="1:7" ht="15.75" customHeight="1">
      <c r="A26" s="2" t="s">
        <v>314</v>
      </c>
      <c r="B26" s="12"/>
      <c r="C26" s="10"/>
      <c r="D26" s="10"/>
      <c r="E26" s="7"/>
      <c r="F26" s="7"/>
      <c r="G26" s="7"/>
    </row>
    <row r="27" spans="1:7" ht="15.75" customHeight="1">
      <c r="A27" s="2" t="s">
        <v>315</v>
      </c>
      <c r="B27" s="12"/>
      <c r="C27" s="10"/>
      <c r="D27" s="11">
        <v>2.5</v>
      </c>
      <c r="E27" s="16"/>
      <c r="F27" s="16"/>
      <c r="G27" s="16"/>
    </row>
  </sheetData>
  <mergeCells count="4">
    <mergeCell ref="A1:C1"/>
    <mergeCell ref="E13:G13"/>
    <mergeCell ref="A17:C17"/>
    <mergeCell ref="E25:G2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Z129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9" customWidth="1"/>
    <col min="3" max="4" width="7.7109375" customWidth="1"/>
    <col min="5" max="5" width="8.42578125" customWidth="1"/>
    <col min="6" max="7" width="7.42578125" customWidth="1"/>
    <col min="9" max="9" width="37.28515625" customWidth="1"/>
    <col min="10" max="10" width="13.42578125" customWidth="1"/>
    <col min="11" max="11" width="13.28515625" customWidth="1"/>
    <col min="17" max="17" width="28.5703125" customWidth="1"/>
  </cols>
  <sheetData>
    <row r="1" spans="1:26" ht="15.75" customHeight="1">
      <c r="A1" s="89" t="s">
        <v>317</v>
      </c>
      <c r="B1" s="90"/>
      <c r="C1" s="91"/>
      <c r="D1" s="17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>
      <c r="A2" s="19" t="str">
        <f>Referencias!B58</f>
        <v>Papelão 16x22</v>
      </c>
      <c r="B2" s="19">
        <v>2</v>
      </c>
      <c r="C2" s="20">
        <f>Referencias!F58</f>
        <v>1.5</v>
      </c>
      <c r="D2" s="21">
        <f t="shared" ref="D2:D16" si="0">B2*C2</f>
        <v>3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>
      <c r="A3" s="19" t="str">
        <f>Referencias!B53</f>
        <v>Papel fotografico A4</v>
      </c>
      <c r="B3" s="19">
        <v>2</v>
      </c>
      <c r="C3" s="20">
        <f>Referencias!F53</f>
        <v>0.8</v>
      </c>
      <c r="D3" s="21">
        <f t="shared" si="0"/>
        <v>1.6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>
      <c r="A4" s="19" t="str">
        <f>Referencias!B31</f>
        <v>bopp</v>
      </c>
      <c r="B4" s="19">
        <v>0.6</v>
      </c>
      <c r="C4" s="20">
        <f>Referencias!F31</f>
        <v>0.45</v>
      </c>
      <c r="D4" s="21">
        <f t="shared" si="0"/>
        <v>0.27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>
      <c r="A5" s="19" t="str">
        <f>Referencias!B48</f>
        <v>Papel guarda 15,5x21,5 offset adesivo</v>
      </c>
      <c r="B5" s="19">
        <v>2</v>
      </c>
      <c r="C5" s="20">
        <f>Referencias!F48</f>
        <v>0.75</v>
      </c>
      <c r="D5" s="21">
        <f t="shared" si="0"/>
        <v>1.5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>
      <c r="A6" s="19" t="str">
        <f>Referencias!B45</f>
        <v>miolo 90gr A5</v>
      </c>
      <c r="B6" s="19">
        <v>32</v>
      </c>
      <c r="C6" s="20">
        <f>Referencias!F45</f>
        <v>0.05</v>
      </c>
      <c r="D6" s="21">
        <f t="shared" si="0"/>
        <v>1.6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>
      <c r="A7" s="19" t="str">
        <f>Referencias!B215</f>
        <v>Color plus metalico Aspen 120g A4</v>
      </c>
      <c r="B7" s="19">
        <v>1</v>
      </c>
      <c r="C7" s="20">
        <f>Referencias!F215</f>
        <v>0.7</v>
      </c>
      <c r="D7" s="21">
        <f t="shared" si="0"/>
        <v>0.7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>
      <c r="A8" s="19" t="str">
        <f>Referencias!B35</f>
        <v>divisórias offset 180gr</v>
      </c>
      <c r="B8" s="19">
        <v>4</v>
      </c>
      <c r="C8" s="20">
        <f>Referencias!F35</f>
        <v>0.32</v>
      </c>
      <c r="D8" s="21">
        <f t="shared" si="0"/>
        <v>1.28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>
      <c r="A9" s="19" t="str">
        <f>Referencias!B32</f>
        <v>Polaseal A4 Divisórias</v>
      </c>
      <c r="B9" s="19">
        <v>4</v>
      </c>
      <c r="C9" s="20">
        <f>Referencias!F32</f>
        <v>0.09</v>
      </c>
      <c r="D9" s="21">
        <f t="shared" si="0"/>
        <v>0.36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>
      <c r="A10" s="19" t="str">
        <f>Referencias!B19</f>
        <v>Espiral 29mm</v>
      </c>
      <c r="B10" s="19">
        <v>1</v>
      </c>
      <c r="C10" s="20">
        <f>Referencias!F19</f>
        <v>1.83</v>
      </c>
      <c r="D10" s="21">
        <f t="shared" si="0"/>
        <v>1.83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>
      <c r="A11" s="19" t="str">
        <f>Referencias!B22</f>
        <v>Impressao Capa A4</v>
      </c>
      <c r="B11" s="19">
        <v>2</v>
      </c>
      <c r="C11" s="20">
        <f>Referencias!F22</f>
        <v>0.5</v>
      </c>
      <c r="D11" s="21">
        <f t="shared" si="0"/>
        <v>1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>
      <c r="A12" s="19" t="str">
        <f>Referencias!B64</f>
        <v>Impressao Divisória A4</v>
      </c>
      <c r="B12" s="19">
        <v>4</v>
      </c>
      <c r="C12" s="20">
        <f>Referencias!F64</f>
        <v>1</v>
      </c>
      <c r="D12" s="21">
        <f t="shared" si="0"/>
        <v>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>
      <c r="A13" s="19" t="str">
        <f>Referencias!B29</f>
        <v>Impressao Miolo Frente Verso A5</v>
      </c>
      <c r="B13" s="19">
        <v>32</v>
      </c>
      <c r="C13" s="20">
        <f>Referencias!F29</f>
        <v>0.06</v>
      </c>
      <c r="D13" s="21">
        <f t="shared" si="0"/>
        <v>1.92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>
      <c r="A14" s="19" t="str">
        <f>Referencias!B62</f>
        <v>Frete</v>
      </c>
      <c r="B14" s="19"/>
      <c r="C14" s="20">
        <f>Referencias!F62</f>
        <v>0</v>
      </c>
      <c r="D14" s="21">
        <f t="shared" si="0"/>
        <v>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>
      <c r="A15" s="19" t="str">
        <f>Referencias!B16</f>
        <v>Desgaste Planner/Album/Caderno Universitario</v>
      </c>
      <c r="B15" s="19">
        <v>1</v>
      </c>
      <c r="C15" s="20">
        <f>Referencias!F16</f>
        <v>3</v>
      </c>
      <c r="D15" s="21">
        <f t="shared" si="0"/>
        <v>3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>
      <c r="A16" s="19" t="str">
        <f>Referencias!B17</f>
        <v>Embalagem Padrão</v>
      </c>
      <c r="B16" s="19">
        <v>1</v>
      </c>
      <c r="C16" s="20">
        <f>Referencias!F17</f>
        <v>1.5</v>
      </c>
      <c r="D16" s="21">
        <f t="shared" si="0"/>
        <v>1.5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>
      <c r="A17" s="22" t="s">
        <v>312</v>
      </c>
      <c r="B17" s="19"/>
      <c r="C17" s="19"/>
      <c r="D17" s="23">
        <f>SUM(D2:D16)</f>
        <v>23.559999999999995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>
      <c r="A18" s="22" t="s">
        <v>313</v>
      </c>
      <c r="B18" s="24">
        <v>0.55000000000000004</v>
      </c>
      <c r="C18" s="21">
        <f>D17*B18</f>
        <v>12.957999999999998</v>
      </c>
      <c r="D18" s="23">
        <f>D17+C18</f>
        <v>36.517999999999994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>
      <c r="A19" s="22" t="s">
        <v>314</v>
      </c>
      <c r="B19" s="22"/>
      <c r="C19" s="22"/>
      <c r="D19" s="23">
        <f t="shared" ref="D19:D20" si="1">B19*C19</f>
        <v>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>
      <c r="A20" s="22" t="s">
        <v>315</v>
      </c>
      <c r="B20" s="22"/>
      <c r="C20" s="22"/>
      <c r="D20" s="23">
        <f t="shared" si="1"/>
        <v>0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25"/>
      <c r="B21" s="25"/>
      <c r="C21" s="25"/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25"/>
      <c r="B22" s="25"/>
      <c r="C22" s="25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89" t="s">
        <v>318</v>
      </c>
      <c r="B23" s="90"/>
      <c r="C23" s="91"/>
      <c r="D23" s="23">
        <v>50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9" t="str">
        <f>Referencias!B58</f>
        <v>Papelão 16x22</v>
      </c>
      <c r="B24" s="26">
        <v>2</v>
      </c>
      <c r="C24" s="21">
        <f>Referencias!F58</f>
        <v>1.5</v>
      </c>
      <c r="D24" s="21">
        <f t="shared" ref="D24:D35" si="2">B24*C24</f>
        <v>3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9" t="str">
        <f>Referencias!B53</f>
        <v>Papel fotografico A4</v>
      </c>
      <c r="B25" s="26">
        <v>2</v>
      </c>
      <c r="C25" s="21">
        <f>Referencias!F53</f>
        <v>0.8</v>
      </c>
      <c r="D25" s="21">
        <f t="shared" si="2"/>
        <v>1.6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9" t="str">
        <f>Referencias!B31</f>
        <v>bopp</v>
      </c>
      <c r="B26" s="26">
        <f>0.3*2</f>
        <v>0.6</v>
      </c>
      <c r="C26" s="21">
        <f>Referencias!F31</f>
        <v>0.45</v>
      </c>
      <c r="D26" s="21">
        <f t="shared" si="2"/>
        <v>0.27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9" t="str">
        <f>Referencias!B48</f>
        <v>Papel guarda 15,5x21,5 offset adesivo</v>
      </c>
      <c r="B27" s="26">
        <v>2</v>
      </c>
      <c r="C27" s="21">
        <f>Referencias!F48</f>
        <v>0.75</v>
      </c>
      <c r="D27" s="21">
        <f t="shared" si="2"/>
        <v>1.5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9" t="str">
        <f>Referencias!B45</f>
        <v>miolo 90gr A5</v>
      </c>
      <c r="B28" s="26">
        <v>100</v>
      </c>
      <c r="C28" s="21">
        <f>Referencias!F45</f>
        <v>0.05</v>
      </c>
      <c r="D28" s="21">
        <f t="shared" si="2"/>
        <v>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9" t="str">
        <f>Referencias!B215</f>
        <v>Color plus metalico Aspen 120g A4</v>
      </c>
      <c r="B29" s="26">
        <v>1</v>
      </c>
      <c r="C29" s="21">
        <f>Referencias!F215</f>
        <v>0.7</v>
      </c>
      <c r="D29" s="21">
        <f t="shared" si="2"/>
        <v>0.7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9" t="str">
        <f>Referencias!B19</f>
        <v>Espiral 29mm</v>
      </c>
      <c r="B30" s="26">
        <v>1</v>
      </c>
      <c r="C30" s="21">
        <f>Referencias!F19</f>
        <v>1.83</v>
      </c>
      <c r="D30" s="21">
        <f t="shared" si="2"/>
        <v>1.83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9" t="str">
        <f>Referencias!B22</f>
        <v>Impressao Capa A4</v>
      </c>
      <c r="B31" s="26">
        <v>2</v>
      </c>
      <c r="C31" s="21">
        <f>Referencias!F22</f>
        <v>0.5</v>
      </c>
      <c r="D31" s="21">
        <f t="shared" si="2"/>
        <v>1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9" t="str">
        <f>Referencias!B29</f>
        <v>Impressao Miolo Frente Verso A5</v>
      </c>
      <c r="B32" s="26">
        <v>100</v>
      </c>
      <c r="C32" s="21">
        <f>Referencias!F29</f>
        <v>0.06</v>
      </c>
      <c r="D32" s="21">
        <f t="shared" si="2"/>
        <v>6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9" t="str">
        <f>Referencias!B62</f>
        <v>Frete</v>
      </c>
      <c r="B33" s="27"/>
      <c r="C33" s="21">
        <f>Referencias!F62</f>
        <v>0</v>
      </c>
      <c r="D33" s="21">
        <f t="shared" si="2"/>
        <v>0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9" t="str">
        <f>Referencias!B15</f>
        <v>Desgaste Caderno A5</v>
      </c>
      <c r="B34" s="26">
        <v>1</v>
      </c>
      <c r="C34" s="21">
        <f>Referencias!F15</f>
        <v>2</v>
      </c>
      <c r="D34" s="21">
        <f t="shared" si="2"/>
        <v>2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9" t="str">
        <f>Referencias!B17</f>
        <v>Embalagem Padrão</v>
      </c>
      <c r="B35" s="26">
        <v>1</v>
      </c>
      <c r="C35" s="21">
        <f>Referencias!F17</f>
        <v>1.5</v>
      </c>
      <c r="D35" s="21">
        <f t="shared" si="2"/>
        <v>1.5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22" t="s">
        <v>312</v>
      </c>
      <c r="B36" s="27"/>
      <c r="C36" s="28"/>
      <c r="D36" s="23">
        <f>SUM(D24:D35)</f>
        <v>24.4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">
      <c r="A37" s="22" t="s">
        <v>313</v>
      </c>
      <c r="B37" s="24">
        <v>0.55000000000000004</v>
      </c>
      <c r="C37" s="21">
        <f>D36*B37</f>
        <v>13.42</v>
      </c>
      <c r="D37" s="23">
        <f>D36+C37</f>
        <v>37.82</v>
      </c>
      <c r="E37" s="94"/>
      <c r="F37" s="93"/>
      <c r="G37" s="93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">
      <c r="A38" s="22" t="s">
        <v>314</v>
      </c>
      <c r="B38" s="29" t="s">
        <v>319</v>
      </c>
      <c r="C38" s="30" t="s">
        <v>320</v>
      </c>
      <c r="D38" s="28"/>
      <c r="E38" s="31"/>
      <c r="F38" s="31"/>
      <c r="G38" s="3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">
      <c r="A39" s="22" t="s">
        <v>315</v>
      </c>
      <c r="B39" s="32">
        <v>68</v>
      </c>
      <c r="C39" s="33">
        <v>85</v>
      </c>
      <c r="D39" s="23">
        <v>50</v>
      </c>
      <c r="E39" s="34"/>
      <c r="F39" s="34"/>
      <c r="G39" s="34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">
      <c r="A40" s="25"/>
      <c r="B40" s="25"/>
      <c r="C40" s="25"/>
      <c r="D40" s="35"/>
    </row>
    <row r="41" spans="1:26" ht="15">
      <c r="A41" s="89" t="s">
        <v>321</v>
      </c>
      <c r="B41" s="90"/>
      <c r="C41" s="91"/>
      <c r="D41" s="3">
        <v>45</v>
      </c>
    </row>
    <row r="42" spans="1:26" ht="15">
      <c r="A42" s="12" t="str">
        <f>Referencias!B58</f>
        <v>Papelão 16x22</v>
      </c>
      <c r="B42" s="13">
        <v>2</v>
      </c>
      <c r="C42" s="6">
        <f>Referencias!F58</f>
        <v>1.5</v>
      </c>
      <c r="D42" s="6">
        <f t="shared" ref="D42:D53" si="3">B42*C42</f>
        <v>3</v>
      </c>
    </row>
    <row r="43" spans="1:26" ht="15">
      <c r="A43" s="12" t="str">
        <f>Referencias!B53</f>
        <v>Papel fotografico A4</v>
      </c>
      <c r="B43" s="13">
        <v>2</v>
      </c>
      <c r="C43" s="6">
        <f>Referencias!F53</f>
        <v>0.8</v>
      </c>
      <c r="D43" s="6">
        <f t="shared" si="3"/>
        <v>1.6</v>
      </c>
    </row>
    <row r="44" spans="1:26" ht="15">
      <c r="A44" s="12" t="str">
        <f>Referencias!B31</f>
        <v>bopp</v>
      </c>
      <c r="B44" s="13">
        <f>0.3*2</f>
        <v>0.6</v>
      </c>
      <c r="C44" s="6">
        <f>Referencias!F31</f>
        <v>0.45</v>
      </c>
      <c r="D44" s="6">
        <f t="shared" si="3"/>
        <v>0.27</v>
      </c>
    </row>
    <row r="45" spans="1:26" ht="15">
      <c r="A45" s="12" t="str">
        <f>Referencias!B48</f>
        <v>Papel guarda 15,5x21,5 offset adesivo</v>
      </c>
      <c r="B45" s="13">
        <v>2</v>
      </c>
      <c r="C45" s="6">
        <f>Referencias!F48</f>
        <v>0.75</v>
      </c>
      <c r="D45" s="6">
        <f t="shared" si="3"/>
        <v>1.5</v>
      </c>
    </row>
    <row r="46" spans="1:26" ht="15">
      <c r="A46" s="12" t="str">
        <f>Referencias!B40</f>
        <v>miolo 75gr A5</v>
      </c>
      <c r="B46" s="13">
        <v>109</v>
      </c>
      <c r="C46" s="6">
        <f>Referencias!F40</f>
        <v>0.03</v>
      </c>
      <c r="D46" s="6">
        <f t="shared" si="3"/>
        <v>3.27</v>
      </c>
    </row>
    <row r="47" spans="1:26" ht="15">
      <c r="A47" s="12" t="str">
        <f>Referencias!B117</f>
        <v>Envelope Canguru 15x21</v>
      </c>
      <c r="B47" s="13">
        <v>1</v>
      </c>
      <c r="C47" s="6">
        <f>Referencias!F117</f>
        <v>1.97</v>
      </c>
      <c r="D47" s="6">
        <f t="shared" si="3"/>
        <v>1.97</v>
      </c>
    </row>
    <row r="48" spans="1:26" ht="15">
      <c r="A48" s="12" t="str">
        <f>Referencias!B19</f>
        <v>Espiral 29mm</v>
      </c>
      <c r="B48" s="13">
        <v>1</v>
      </c>
      <c r="C48" s="6">
        <f>Referencias!F19</f>
        <v>1.83</v>
      </c>
      <c r="D48" s="6">
        <f t="shared" si="3"/>
        <v>1.83</v>
      </c>
    </row>
    <row r="49" spans="1:7" ht="15">
      <c r="A49" s="12" t="str">
        <f>Referencias!B22</f>
        <v>Impressao Capa A4</v>
      </c>
      <c r="B49" s="13">
        <v>2</v>
      </c>
      <c r="C49" s="6">
        <f>Referencias!F22</f>
        <v>0.5</v>
      </c>
      <c r="D49" s="6">
        <f t="shared" si="3"/>
        <v>1</v>
      </c>
    </row>
    <row r="50" spans="1:7" ht="15">
      <c r="A50" s="12" t="str">
        <f>Referencias!B29</f>
        <v>Impressao Miolo Frente Verso A5</v>
      </c>
      <c r="B50" s="13">
        <v>109</v>
      </c>
      <c r="C50" s="6">
        <f>Referencias!F29</f>
        <v>0.06</v>
      </c>
      <c r="D50" s="6">
        <f t="shared" si="3"/>
        <v>6.54</v>
      </c>
    </row>
    <row r="51" spans="1:7" ht="15">
      <c r="A51" s="12" t="str">
        <f>Referencias!B62</f>
        <v>Frete</v>
      </c>
      <c r="B51" s="12"/>
      <c r="C51" s="6">
        <f>Referencias!F62</f>
        <v>0</v>
      </c>
      <c r="D51" s="6">
        <f t="shared" si="3"/>
        <v>0</v>
      </c>
    </row>
    <row r="52" spans="1:7" ht="15">
      <c r="A52" s="12" t="str">
        <f>Referencias!B13</f>
        <v>Desgaste Agenda</v>
      </c>
      <c r="B52" s="13">
        <v>1</v>
      </c>
      <c r="C52" s="6">
        <f>Referencias!F13</f>
        <v>1</v>
      </c>
      <c r="D52" s="6">
        <f t="shared" si="3"/>
        <v>1</v>
      </c>
    </row>
    <row r="53" spans="1:7" ht="15">
      <c r="A53" s="12" t="str">
        <f>Referencias!B17</f>
        <v>Embalagem Padrão</v>
      </c>
      <c r="B53" s="13">
        <v>1</v>
      </c>
      <c r="C53" s="6">
        <f>Referencias!F17</f>
        <v>1.5</v>
      </c>
      <c r="D53" s="6">
        <f t="shared" si="3"/>
        <v>1.5</v>
      </c>
    </row>
    <row r="54" spans="1:7" ht="15">
      <c r="A54" s="2" t="s">
        <v>312</v>
      </c>
      <c r="B54" s="12"/>
      <c r="C54" s="6"/>
      <c r="D54" s="3">
        <f>SUM(D42:D53)</f>
        <v>23.48</v>
      </c>
    </row>
    <row r="55" spans="1:7" ht="15">
      <c r="A55" s="2" t="s">
        <v>313</v>
      </c>
      <c r="B55" s="15">
        <v>0.55000000000000004</v>
      </c>
      <c r="C55" s="6">
        <f>D54*B55</f>
        <v>12.914000000000001</v>
      </c>
      <c r="D55" s="3">
        <f>D54+C55</f>
        <v>36.394000000000005</v>
      </c>
      <c r="E55" s="92"/>
      <c r="F55" s="93"/>
      <c r="G55" s="93"/>
    </row>
    <row r="56" spans="1:7" ht="15">
      <c r="A56" s="2" t="s">
        <v>314</v>
      </c>
      <c r="B56" s="29" t="s">
        <v>322</v>
      </c>
      <c r="C56" s="36" t="s">
        <v>323</v>
      </c>
      <c r="D56" s="10"/>
      <c r="E56" s="7"/>
      <c r="F56" s="7"/>
      <c r="G56" s="7"/>
    </row>
    <row r="57" spans="1:7" ht="15">
      <c r="A57" s="2" t="s">
        <v>315</v>
      </c>
      <c r="B57" s="37">
        <v>55</v>
      </c>
      <c r="C57" s="36">
        <v>49</v>
      </c>
      <c r="D57" s="3">
        <v>45</v>
      </c>
      <c r="E57" s="16"/>
      <c r="F57" s="16"/>
      <c r="G57" s="16"/>
    </row>
    <row r="59" spans="1:7" ht="15">
      <c r="A59" s="89" t="s">
        <v>324</v>
      </c>
      <c r="B59" s="90"/>
      <c r="C59" s="91"/>
      <c r="D59" s="3">
        <v>35</v>
      </c>
    </row>
    <row r="60" spans="1:7" ht="15">
      <c r="A60" s="12" t="str">
        <f>Referencias!B58</f>
        <v>Papelão 16x22</v>
      </c>
      <c r="B60" s="13">
        <v>2</v>
      </c>
      <c r="C60" s="6">
        <f>Referencias!F58</f>
        <v>1.5</v>
      </c>
      <c r="D60" s="6">
        <f t="shared" ref="D60:D71" si="4">B60*C60</f>
        <v>3</v>
      </c>
    </row>
    <row r="61" spans="1:7" ht="15">
      <c r="A61" s="12" t="str">
        <f>Referencias!B53</f>
        <v>Papel fotografico A4</v>
      </c>
      <c r="B61" s="13">
        <v>2</v>
      </c>
      <c r="C61" s="6">
        <f>Referencias!F53</f>
        <v>0.8</v>
      </c>
      <c r="D61" s="6">
        <f t="shared" si="4"/>
        <v>1.6</v>
      </c>
    </row>
    <row r="62" spans="1:7" ht="15">
      <c r="A62" s="12" t="str">
        <f>Referencias!B31</f>
        <v>bopp</v>
      </c>
      <c r="B62" s="13">
        <f>0.3*2</f>
        <v>0.6</v>
      </c>
      <c r="C62" s="6">
        <f>Referencias!F31</f>
        <v>0.45</v>
      </c>
      <c r="D62" s="6">
        <f t="shared" si="4"/>
        <v>0.27</v>
      </c>
    </row>
    <row r="63" spans="1:7" ht="15">
      <c r="A63" s="12" t="str">
        <f>Referencias!B48</f>
        <v>Papel guarda 15,5x21,5 offset adesivo</v>
      </c>
      <c r="B63" s="13">
        <v>2</v>
      </c>
      <c r="C63" s="6">
        <f>Referencias!F48</f>
        <v>0.75</v>
      </c>
      <c r="D63" s="6">
        <f t="shared" si="4"/>
        <v>1.5</v>
      </c>
    </row>
    <row r="64" spans="1:7" ht="15">
      <c r="A64" s="12" t="str">
        <f>Referencias!B45</f>
        <v>miolo 90gr A5</v>
      </c>
      <c r="B64" s="13">
        <v>57</v>
      </c>
      <c r="C64" s="6">
        <f>Referencias!F45</f>
        <v>0.05</v>
      </c>
      <c r="D64" s="6">
        <f t="shared" si="4"/>
        <v>2.85</v>
      </c>
    </row>
    <row r="65" spans="1:7" ht="15">
      <c r="A65" s="12" t="str">
        <f>Referencias!B117</f>
        <v>Envelope Canguru 15x21</v>
      </c>
      <c r="B65" s="13">
        <v>1</v>
      </c>
      <c r="C65" s="6">
        <f>Referencias!F117</f>
        <v>1.97</v>
      </c>
      <c r="D65" s="6">
        <f t="shared" si="4"/>
        <v>1.97</v>
      </c>
    </row>
    <row r="66" spans="1:7" ht="15">
      <c r="A66" s="12" t="str">
        <f>Referencias!B69</f>
        <v>Espiral 20mm</v>
      </c>
      <c r="B66" s="13">
        <v>1</v>
      </c>
      <c r="C66" s="6">
        <f>Referencias!F69</f>
        <v>0.64</v>
      </c>
      <c r="D66" s="6">
        <f t="shared" si="4"/>
        <v>0.64</v>
      </c>
    </row>
    <row r="67" spans="1:7" ht="15">
      <c r="A67" s="12" t="str">
        <f>Referencias!B22</f>
        <v>Impressao Capa A4</v>
      </c>
      <c r="B67" s="13">
        <v>2</v>
      </c>
      <c r="C67" s="6">
        <f>Referencias!F22</f>
        <v>0.5</v>
      </c>
      <c r="D67" s="6">
        <f t="shared" si="4"/>
        <v>1</v>
      </c>
    </row>
    <row r="68" spans="1:7" ht="15">
      <c r="A68" s="12" t="str">
        <f>Referencias!B29</f>
        <v>Impressao Miolo Frente Verso A5</v>
      </c>
      <c r="B68" s="13">
        <v>57</v>
      </c>
      <c r="C68" s="6">
        <f>Referencias!F29</f>
        <v>0.06</v>
      </c>
      <c r="D68" s="6">
        <f t="shared" si="4"/>
        <v>3.42</v>
      </c>
    </row>
    <row r="69" spans="1:7" ht="15">
      <c r="A69" s="12" t="str">
        <f>Referencias!B62</f>
        <v>Frete</v>
      </c>
      <c r="B69" s="12"/>
      <c r="C69" s="6">
        <f>Referencias!F62</f>
        <v>0</v>
      </c>
      <c r="D69" s="6">
        <f t="shared" si="4"/>
        <v>0</v>
      </c>
    </row>
    <row r="70" spans="1:7" ht="15">
      <c r="A70" s="12" t="str">
        <f>Referencias!B13</f>
        <v>Desgaste Agenda</v>
      </c>
      <c r="B70" s="13">
        <v>1</v>
      </c>
      <c r="C70" s="6">
        <f>Referencias!F13</f>
        <v>1</v>
      </c>
      <c r="D70" s="6">
        <f t="shared" si="4"/>
        <v>1</v>
      </c>
    </row>
    <row r="71" spans="1:7" ht="15">
      <c r="A71" s="12" t="str">
        <f>Referencias!B17</f>
        <v>Embalagem Padrão</v>
      </c>
      <c r="B71" s="13">
        <v>1</v>
      </c>
      <c r="C71" s="6">
        <f>Referencias!F17</f>
        <v>1.5</v>
      </c>
      <c r="D71" s="6">
        <f t="shared" si="4"/>
        <v>1.5</v>
      </c>
    </row>
    <row r="72" spans="1:7" ht="15">
      <c r="A72" s="2" t="s">
        <v>312</v>
      </c>
      <c r="B72" s="12"/>
      <c r="C72" s="6"/>
      <c r="D72" s="3">
        <f>SUM(D60:D71)</f>
        <v>18.75</v>
      </c>
    </row>
    <row r="73" spans="1:7" ht="15">
      <c r="A73" s="2" t="s">
        <v>313</v>
      </c>
      <c r="B73" s="15">
        <v>0.55000000000000004</v>
      </c>
      <c r="C73" s="6">
        <f>D72*B73</f>
        <v>10.3125</v>
      </c>
      <c r="D73" s="3">
        <f>D72+C73</f>
        <v>29.0625</v>
      </c>
      <c r="E73" s="92"/>
      <c r="F73" s="93"/>
      <c r="G73" s="93"/>
    </row>
    <row r="74" spans="1:7" ht="15">
      <c r="A74" s="2" t="s">
        <v>314</v>
      </c>
      <c r="B74" s="29" t="s">
        <v>322</v>
      </c>
      <c r="C74" s="10" t="s">
        <v>325</v>
      </c>
      <c r="D74" s="10"/>
      <c r="E74" s="7"/>
      <c r="F74" s="7"/>
      <c r="G74" s="7"/>
    </row>
    <row r="75" spans="1:7" ht="15">
      <c r="A75" s="2" t="s">
        <v>315</v>
      </c>
      <c r="B75" s="37">
        <v>39</v>
      </c>
      <c r="C75" s="10">
        <v>39</v>
      </c>
      <c r="D75" s="3">
        <v>35</v>
      </c>
      <c r="E75" s="16"/>
      <c r="F75" s="16"/>
      <c r="G75" s="16"/>
    </row>
    <row r="77" spans="1:7" ht="15">
      <c r="A77" s="89" t="s">
        <v>326</v>
      </c>
      <c r="B77" s="90"/>
      <c r="C77" s="91"/>
      <c r="D77" s="23">
        <v>40</v>
      </c>
      <c r="E77" s="18"/>
      <c r="F77" s="18"/>
    </row>
    <row r="78" spans="1:7" ht="15">
      <c r="A78" s="19" t="str">
        <f>Referencias!B58</f>
        <v>Papelão 16x22</v>
      </c>
      <c r="B78" s="26">
        <v>2</v>
      </c>
      <c r="C78" s="6">
        <f>Referencias!F58</f>
        <v>1.5</v>
      </c>
      <c r="D78" s="21">
        <f t="shared" ref="D78:D89" si="5">B78*C78</f>
        <v>3</v>
      </c>
      <c r="E78" s="18"/>
      <c r="F78" s="18"/>
      <c r="G78" s="18"/>
    </row>
    <row r="79" spans="1:7" ht="15">
      <c r="A79" s="19" t="str">
        <f>Referencias!B53</f>
        <v>Papel fotografico A4</v>
      </c>
      <c r="B79" s="26">
        <v>2</v>
      </c>
      <c r="C79" s="6">
        <f>Referencias!F53</f>
        <v>0.8</v>
      </c>
      <c r="D79" s="21">
        <f t="shared" si="5"/>
        <v>1.6</v>
      </c>
      <c r="E79" s="18"/>
      <c r="F79" s="18"/>
      <c r="G79" s="18"/>
    </row>
    <row r="80" spans="1:7" ht="15">
      <c r="A80" s="19" t="str">
        <f>Referencias!B31</f>
        <v>bopp</v>
      </c>
      <c r="B80" s="13">
        <f>0.3*2</f>
        <v>0.6</v>
      </c>
      <c r="C80" s="6">
        <f>Referencias!F31</f>
        <v>0.45</v>
      </c>
      <c r="D80" s="21">
        <f t="shared" si="5"/>
        <v>0.27</v>
      </c>
      <c r="E80" s="18"/>
      <c r="F80" s="18"/>
      <c r="G80" s="18"/>
    </row>
    <row r="81" spans="1:7" ht="15">
      <c r="A81" s="19" t="str">
        <f>Referencias!B48</f>
        <v>Papel guarda 15,5x21,5 offset adesivo</v>
      </c>
      <c r="B81" s="26">
        <v>2</v>
      </c>
      <c r="C81" s="6">
        <f>Referencias!F48</f>
        <v>0.75</v>
      </c>
      <c r="D81" s="21">
        <f t="shared" si="5"/>
        <v>1.5</v>
      </c>
      <c r="E81" s="18"/>
      <c r="F81" s="18"/>
      <c r="G81" s="18"/>
    </row>
    <row r="82" spans="1:7" ht="15">
      <c r="A82" s="19" t="str">
        <f>Referencias!B45</f>
        <v>miolo 90gr A5</v>
      </c>
      <c r="B82" s="26">
        <v>61</v>
      </c>
      <c r="C82" s="21">
        <f>Referencias!F45</f>
        <v>0.05</v>
      </c>
      <c r="D82" s="21">
        <f t="shared" si="5"/>
        <v>3.0500000000000003</v>
      </c>
      <c r="E82" s="18"/>
      <c r="F82" s="18"/>
      <c r="G82" s="18"/>
    </row>
    <row r="83" spans="1:7" ht="15">
      <c r="A83" s="19" t="str">
        <f>Referencias!B117</f>
        <v>Envelope Canguru 15x21</v>
      </c>
      <c r="B83" s="26">
        <v>1</v>
      </c>
      <c r="C83" s="6">
        <f>Referencias!F117</f>
        <v>1.97</v>
      </c>
      <c r="D83" s="21">
        <f t="shared" si="5"/>
        <v>1.97</v>
      </c>
      <c r="E83" s="18"/>
      <c r="F83" s="18"/>
      <c r="G83" s="18"/>
    </row>
    <row r="84" spans="1:7" ht="15">
      <c r="A84" s="19" t="str">
        <f>Referencias!B69</f>
        <v>Espiral 20mm</v>
      </c>
      <c r="B84" s="26">
        <v>1</v>
      </c>
      <c r="C84" s="21">
        <f>Referencias!F69</f>
        <v>0.64</v>
      </c>
      <c r="D84" s="21">
        <f t="shared" si="5"/>
        <v>0.64</v>
      </c>
      <c r="E84" s="18"/>
      <c r="F84" s="18"/>
      <c r="G84" s="18"/>
    </row>
    <row r="85" spans="1:7" ht="15">
      <c r="A85" s="19" t="str">
        <f>Referencias!B22</f>
        <v>Impressao Capa A4</v>
      </c>
      <c r="B85" s="26">
        <v>2</v>
      </c>
      <c r="C85" s="6">
        <f>Referencias!F22</f>
        <v>0.5</v>
      </c>
      <c r="D85" s="21">
        <f t="shared" si="5"/>
        <v>1</v>
      </c>
      <c r="E85" s="18"/>
      <c r="F85" s="18"/>
      <c r="G85" s="18"/>
    </row>
    <row r="86" spans="1:7" ht="15">
      <c r="A86" s="19" t="str">
        <f>Referencias!B29</f>
        <v>Impressao Miolo Frente Verso A5</v>
      </c>
      <c r="B86" s="26">
        <v>61</v>
      </c>
      <c r="C86" s="6">
        <f>Referencias!F29</f>
        <v>0.06</v>
      </c>
      <c r="D86" s="21">
        <f t="shared" si="5"/>
        <v>3.6599999999999997</v>
      </c>
      <c r="E86" s="18"/>
      <c r="F86" s="18"/>
      <c r="G86" s="18"/>
    </row>
    <row r="87" spans="1:7" ht="15">
      <c r="A87" s="19" t="str">
        <f>Referencias!B62</f>
        <v>Frete</v>
      </c>
      <c r="B87" s="27"/>
      <c r="C87" s="28">
        <f>Referencias!F62</f>
        <v>0</v>
      </c>
      <c r="D87" s="21">
        <f t="shared" si="5"/>
        <v>0</v>
      </c>
      <c r="E87" s="18"/>
      <c r="F87" s="18"/>
      <c r="G87" s="18"/>
    </row>
    <row r="88" spans="1:7" ht="15">
      <c r="A88" s="19" t="str">
        <f>Referencias!B16</f>
        <v>Desgaste Planner/Album/Caderno Universitario</v>
      </c>
      <c r="B88" s="26">
        <v>1</v>
      </c>
      <c r="C88" s="6">
        <f>Referencias!F16</f>
        <v>3</v>
      </c>
      <c r="D88" s="21">
        <f t="shared" si="5"/>
        <v>3</v>
      </c>
      <c r="E88" s="18"/>
      <c r="F88" s="18"/>
      <c r="G88" s="18"/>
    </row>
    <row r="89" spans="1:7" ht="15">
      <c r="A89" s="19" t="str">
        <f>Referencias!B17</f>
        <v>Embalagem Padrão</v>
      </c>
      <c r="B89" s="26">
        <v>1</v>
      </c>
      <c r="C89" s="6">
        <f>Referencias!F17</f>
        <v>1.5</v>
      </c>
      <c r="D89" s="21">
        <f t="shared" si="5"/>
        <v>1.5</v>
      </c>
      <c r="E89" s="18"/>
      <c r="F89" s="18"/>
      <c r="G89" s="18"/>
    </row>
    <row r="90" spans="1:7" ht="15">
      <c r="A90" s="22" t="s">
        <v>312</v>
      </c>
      <c r="B90" s="27"/>
      <c r="C90" s="28"/>
      <c r="D90" s="23">
        <f>SUM(D78:D89)</f>
        <v>21.19</v>
      </c>
      <c r="E90" s="18"/>
      <c r="F90" s="18"/>
      <c r="G90" s="18"/>
    </row>
    <row r="91" spans="1:7" ht="15">
      <c r="A91" s="22" t="s">
        <v>313</v>
      </c>
      <c r="B91" s="24">
        <v>0.55000000000000004</v>
      </c>
      <c r="C91" s="21">
        <f>D90*B91</f>
        <v>11.654500000000002</v>
      </c>
      <c r="D91" s="23">
        <f>D90+C91</f>
        <v>32.844500000000004</v>
      </c>
      <c r="E91" s="92"/>
      <c r="F91" s="93"/>
      <c r="G91" s="93"/>
    </row>
    <row r="92" spans="1:7" ht="15">
      <c r="A92" s="22" t="s">
        <v>314</v>
      </c>
      <c r="B92" s="19" t="s">
        <v>322</v>
      </c>
      <c r="C92" s="27"/>
      <c r="D92" s="27"/>
      <c r="E92" s="7"/>
      <c r="F92" s="7"/>
      <c r="G92" s="7"/>
    </row>
    <row r="93" spans="1:7" ht="15">
      <c r="A93" s="22" t="s">
        <v>315</v>
      </c>
      <c r="B93" s="38">
        <v>42.9</v>
      </c>
      <c r="C93" s="27"/>
      <c r="D93" s="23">
        <v>40</v>
      </c>
      <c r="E93" s="16"/>
      <c r="F93" s="16"/>
      <c r="G93" s="16"/>
    </row>
    <row r="95" spans="1:7" ht="15">
      <c r="A95" s="89" t="s">
        <v>327</v>
      </c>
      <c r="B95" s="90"/>
      <c r="C95" s="91"/>
      <c r="D95" s="23">
        <v>45</v>
      </c>
      <c r="E95" s="18"/>
      <c r="F95" s="18"/>
    </row>
    <row r="96" spans="1:7" ht="15">
      <c r="A96" s="19" t="str">
        <f>Referencias!B58</f>
        <v>Papelão 16x22</v>
      </c>
      <c r="B96" s="26">
        <v>2</v>
      </c>
      <c r="C96" s="6">
        <f>Referencias!F58</f>
        <v>1.5</v>
      </c>
      <c r="D96" s="21">
        <f t="shared" ref="D96:D106" si="6">B96*C96</f>
        <v>3</v>
      </c>
      <c r="E96" s="18"/>
      <c r="F96" s="18"/>
      <c r="G96" s="18"/>
    </row>
    <row r="97" spans="1:7" ht="15">
      <c r="A97" s="19" t="str">
        <f>Referencias!B53</f>
        <v>Papel fotografico A4</v>
      </c>
      <c r="B97" s="26">
        <v>2</v>
      </c>
      <c r="C97" s="6">
        <f>Referencias!F53</f>
        <v>0.8</v>
      </c>
      <c r="D97" s="21">
        <f t="shared" si="6"/>
        <v>1.6</v>
      </c>
      <c r="E97" s="18"/>
      <c r="F97" s="18"/>
      <c r="G97" s="18"/>
    </row>
    <row r="98" spans="1:7" ht="15">
      <c r="A98" s="19" t="str">
        <f>Referencias!B31</f>
        <v>bopp</v>
      </c>
      <c r="B98" s="13">
        <f>0.3*2</f>
        <v>0.6</v>
      </c>
      <c r="C98" s="6">
        <f>Referencias!F31</f>
        <v>0.45</v>
      </c>
      <c r="D98" s="21">
        <f t="shared" si="6"/>
        <v>0.27</v>
      </c>
      <c r="E98" s="18"/>
      <c r="F98" s="18"/>
      <c r="G98" s="18"/>
    </row>
    <row r="99" spans="1:7" ht="15">
      <c r="A99" s="19" t="str">
        <f>Referencias!B48</f>
        <v>Papel guarda 15,5x21,5 offset adesivo</v>
      </c>
      <c r="B99" s="26">
        <v>2</v>
      </c>
      <c r="C99" s="6">
        <f>Referencias!F48</f>
        <v>0.75</v>
      </c>
      <c r="D99" s="21">
        <f t="shared" si="6"/>
        <v>1.5</v>
      </c>
      <c r="E99" s="18"/>
      <c r="F99" s="18"/>
      <c r="G99" s="18"/>
    </row>
    <row r="100" spans="1:7" ht="15">
      <c r="A100" s="19" t="str">
        <f>Referencias!B45</f>
        <v>miolo 90gr A5</v>
      </c>
      <c r="B100" s="26">
        <v>50</v>
      </c>
      <c r="C100" s="6">
        <f>Referencias!F45</f>
        <v>0.05</v>
      </c>
      <c r="D100" s="6">
        <f t="shared" si="6"/>
        <v>2.5</v>
      </c>
      <c r="E100" s="18"/>
      <c r="F100" s="18"/>
      <c r="G100" s="18"/>
    </row>
    <row r="101" spans="1:7" ht="15">
      <c r="A101" s="19" t="str">
        <f>Referencias!B19</f>
        <v>Espiral 29mm</v>
      </c>
      <c r="B101" s="26">
        <v>1</v>
      </c>
      <c r="C101" s="21">
        <f>Referencias!F19</f>
        <v>1.83</v>
      </c>
      <c r="D101" s="21">
        <f t="shared" si="6"/>
        <v>1.83</v>
      </c>
      <c r="E101" s="18"/>
      <c r="F101" s="18"/>
      <c r="G101" s="18"/>
    </row>
    <row r="102" spans="1:7" ht="15">
      <c r="A102" s="19" t="str">
        <f>Referencias!B22</f>
        <v>Impressao Capa A4</v>
      </c>
      <c r="B102" s="26">
        <v>2</v>
      </c>
      <c r="C102" s="6">
        <f>Referencias!F22</f>
        <v>0.5</v>
      </c>
      <c r="D102" s="21">
        <f t="shared" si="6"/>
        <v>1</v>
      </c>
      <c r="E102" s="18"/>
      <c r="F102" s="18"/>
      <c r="G102" s="18"/>
    </row>
    <row r="103" spans="1:7" ht="15">
      <c r="A103" s="19" t="str">
        <f>Referencias!B29</f>
        <v>Impressao Miolo Frente Verso A5</v>
      </c>
      <c r="B103" s="26">
        <v>50</v>
      </c>
      <c r="C103" s="6">
        <f>Referencias!F29</f>
        <v>0.06</v>
      </c>
      <c r="D103" s="21">
        <f t="shared" si="6"/>
        <v>3</v>
      </c>
      <c r="E103" s="18"/>
      <c r="F103" s="18"/>
      <c r="G103" s="18"/>
    </row>
    <row r="104" spans="1:7" ht="15">
      <c r="A104" s="19" t="str">
        <f>Referencias!B62</f>
        <v>Frete</v>
      </c>
      <c r="B104" s="27">
        <v>0</v>
      </c>
      <c r="C104" s="28">
        <f>Referencias!F62</f>
        <v>0</v>
      </c>
      <c r="D104" s="21">
        <f t="shared" si="6"/>
        <v>0</v>
      </c>
      <c r="E104" s="18"/>
      <c r="F104" s="18"/>
      <c r="G104" s="18"/>
    </row>
    <row r="105" spans="1:7" ht="15">
      <c r="A105" s="19" t="str">
        <f>Referencias!B15</f>
        <v>Desgaste Caderno A5</v>
      </c>
      <c r="B105" s="26">
        <v>1</v>
      </c>
      <c r="C105" s="6">
        <f>Referencias!F15</f>
        <v>2</v>
      </c>
      <c r="D105" s="21">
        <f t="shared" si="6"/>
        <v>2</v>
      </c>
      <c r="E105" s="18"/>
      <c r="F105" s="18"/>
      <c r="G105" s="18"/>
    </row>
    <row r="106" spans="1:7" ht="15">
      <c r="A106" s="19" t="str">
        <f>Referencias!B17</f>
        <v>Embalagem Padrão</v>
      </c>
      <c r="B106" s="26">
        <v>1</v>
      </c>
      <c r="C106" s="6">
        <f>Referencias!F17</f>
        <v>1.5</v>
      </c>
      <c r="D106" s="21">
        <f t="shared" si="6"/>
        <v>1.5</v>
      </c>
      <c r="E106" s="18"/>
      <c r="F106" s="18"/>
      <c r="G106" s="18"/>
    </row>
    <row r="107" spans="1:7" ht="15">
      <c r="A107" s="22" t="s">
        <v>312</v>
      </c>
      <c r="B107" s="27"/>
      <c r="C107" s="28"/>
      <c r="D107" s="23">
        <f>SUM(D96:D106)</f>
        <v>18.2</v>
      </c>
      <c r="E107" s="18"/>
      <c r="F107" s="18"/>
      <c r="G107" s="18"/>
    </row>
    <row r="108" spans="1:7" ht="15">
      <c r="A108" s="22" t="s">
        <v>313</v>
      </c>
      <c r="B108" s="24">
        <v>0.55000000000000004</v>
      </c>
      <c r="C108" s="21">
        <f>D107*B108</f>
        <v>10.01</v>
      </c>
      <c r="D108" s="23">
        <f>D107+C108</f>
        <v>28.21</v>
      </c>
      <c r="E108" s="92"/>
      <c r="F108" s="93"/>
      <c r="G108" s="93"/>
    </row>
    <row r="109" spans="1:7" ht="15">
      <c r="A109" s="22" t="s">
        <v>314</v>
      </c>
      <c r="B109" s="29" t="s">
        <v>322</v>
      </c>
      <c r="C109" s="30" t="s">
        <v>323</v>
      </c>
      <c r="D109" s="27"/>
      <c r="E109" s="7"/>
      <c r="F109" s="7"/>
      <c r="G109" s="7"/>
    </row>
    <row r="110" spans="1:7" ht="15">
      <c r="A110" s="22" t="s">
        <v>315</v>
      </c>
      <c r="B110" s="32">
        <v>39</v>
      </c>
      <c r="C110" s="30">
        <v>46</v>
      </c>
      <c r="D110" s="23">
        <v>45</v>
      </c>
      <c r="E110" s="16"/>
      <c r="F110" s="16"/>
      <c r="G110" s="16"/>
    </row>
    <row r="112" spans="1:7" ht="15">
      <c r="A112" s="89" t="s">
        <v>328</v>
      </c>
      <c r="B112" s="90"/>
      <c r="C112" s="91"/>
      <c r="D112" s="23">
        <v>45</v>
      </c>
      <c r="E112" s="18"/>
      <c r="F112" s="18"/>
    </row>
    <row r="113" spans="1:7" ht="15">
      <c r="A113" s="19" t="str">
        <f>Referencias!B58</f>
        <v>Papelão 16x22</v>
      </c>
      <c r="B113" s="26">
        <v>2</v>
      </c>
      <c r="C113" s="6">
        <f>Referencias!F58</f>
        <v>1.5</v>
      </c>
      <c r="D113" s="21">
        <f t="shared" ref="D113:D125" si="7">B113*C113</f>
        <v>3</v>
      </c>
      <c r="E113" s="18"/>
      <c r="F113" s="18"/>
      <c r="G113" s="18"/>
    </row>
    <row r="114" spans="1:7" ht="15">
      <c r="A114" s="19" t="str">
        <f>Referencias!B53</f>
        <v>Papel fotografico A4</v>
      </c>
      <c r="B114" s="26">
        <v>2</v>
      </c>
      <c r="C114" s="6">
        <f>Referencias!F53</f>
        <v>0.8</v>
      </c>
      <c r="D114" s="21">
        <f t="shared" si="7"/>
        <v>1.6</v>
      </c>
      <c r="E114" s="18"/>
      <c r="F114" s="18"/>
      <c r="G114" s="18"/>
    </row>
    <row r="115" spans="1:7" ht="15">
      <c r="A115" s="19" t="str">
        <f>Referencias!B31</f>
        <v>bopp</v>
      </c>
      <c r="B115" s="26">
        <v>0.6</v>
      </c>
      <c r="C115" s="6">
        <f>Referencias!F31</f>
        <v>0.45</v>
      </c>
      <c r="D115" s="21">
        <f t="shared" si="7"/>
        <v>0.27</v>
      </c>
      <c r="E115" s="18"/>
      <c r="F115" s="18"/>
      <c r="G115" s="18"/>
    </row>
    <row r="116" spans="1:7" ht="15">
      <c r="A116" s="19" t="str">
        <f>Referencias!B48</f>
        <v>Papel guarda 15,5x21,5 offset adesivo</v>
      </c>
      <c r="B116" s="26">
        <v>2</v>
      </c>
      <c r="C116" s="6">
        <f>Referencias!F48</f>
        <v>0.75</v>
      </c>
      <c r="D116" s="21">
        <f t="shared" si="7"/>
        <v>1.5</v>
      </c>
      <c r="E116" s="18"/>
      <c r="F116" s="18"/>
      <c r="G116" s="18"/>
    </row>
    <row r="117" spans="1:7" ht="15">
      <c r="A117" s="19" t="str">
        <f>Referencias!B36</f>
        <v>miolo 180g A5</v>
      </c>
      <c r="B117" s="26">
        <v>50</v>
      </c>
      <c r="C117" s="6">
        <f>Referencias!F36</f>
        <v>0.16</v>
      </c>
      <c r="D117" s="21">
        <f t="shared" si="7"/>
        <v>8</v>
      </c>
      <c r="E117" s="18"/>
      <c r="F117" s="18"/>
      <c r="G117" s="18"/>
    </row>
    <row r="118" spans="1:7" ht="15">
      <c r="A118" s="19" t="str">
        <f>Referencias!B19</f>
        <v>Espiral 29mm</v>
      </c>
      <c r="B118" s="13">
        <v>0.5</v>
      </c>
      <c r="C118" s="6">
        <f>Referencias!F19</f>
        <v>1.83</v>
      </c>
      <c r="D118" s="21">
        <f t="shared" si="7"/>
        <v>0.91500000000000004</v>
      </c>
      <c r="E118" s="18"/>
      <c r="F118" s="18"/>
      <c r="G118" s="18"/>
    </row>
    <row r="119" spans="1:7" ht="15">
      <c r="A119" s="19" t="str">
        <f>Referencias!B243</f>
        <v>Acetato 18 micras</v>
      </c>
      <c r="B119" s="13">
        <v>0.5</v>
      </c>
      <c r="C119" s="6">
        <f>Referencias!F243</f>
        <v>1.63</v>
      </c>
      <c r="D119" s="21">
        <f t="shared" si="7"/>
        <v>0.81499999999999995</v>
      </c>
      <c r="E119" s="18"/>
      <c r="F119" s="18"/>
      <c r="G119" s="18"/>
    </row>
    <row r="120" spans="1:7" ht="15">
      <c r="A120" s="19" t="str">
        <f>Referencias!B22</f>
        <v>Impressao Capa A4</v>
      </c>
      <c r="B120" s="13">
        <v>2</v>
      </c>
      <c r="C120" s="6">
        <f>Referencias!F22</f>
        <v>0.5</v>
      </c>
      <c r="D120" s="21">
        <f t="shared" si="7"/>
        <v>1</v>
      </c>
      <c r="E120" s="18"/>
      <c r="F120" s="18"/>
      <c r="G120" s="18"/>
    </row>
    <row r="121" spans="1:7" ht="15">
      <c r="A121" s="19" t="str">
        <f>Referencias!B26</f>
        <v>Impressao Miolo Frente A5</v>
      </c>
      <c r="B121" s="26">
        <v>50</v>
      </c>
      <c r="C121" s="6">
        <f>Referencias!F26</f>
        <v>0.03</v>
      </c>
      <c r="D121" s="21">
        <f t="shared" si="7"/>
        <v>1.5</v>
      </c>
      <c r="E121" s="18"/>
      <c r="F121" s="18"/>
      <c r="G121" s="18"/>
    </row>
    <row r="122" spans="1:7" ht="15">
      <c r="A122" s="19" t="str">
        <f>Referencias!B156</f>
        <v>Lápis de Cor 12 cores meio lápis redondo HT 11.1702 Happy-time</v>
      </c>
      <c r="B122" s="26">
        <v>1</v>
      </c>
      <c r="C122" s="6">
        <f>Referencias!F156</f>
        <v>3.3</v>
      </c>
      <c r="D122" s="21">
        <f t="shared" si="7"/>
        <v>3.3</v>
      </c>
      <c r="E122" s="18"/>
      <c r="F122" s="18"/>
      <c r="G122" s="18"/>
    </row>
    <row r="123" spans="1:7" ht="15">
      <c r="A123" s="19" t="s">
        <v>90</v>
      </c>
      <c r="B123" s="26">
        <v>0</v>
      </c>
      <c r="C123" s="6">
        <v>0</v>
      </c>
      <c r="D123" s="21">
        <f t="shared" si="7"/>
        <v>0</v>
      </c>
      <c r="E123" s="18"/>
      <c r="F123" s="18"/>
      <c r="G123" s="18"/>
    </row>
    <row r="124" spans="1:7" ht="15">
      <c r="A124" s="19" t="str">
        <f>Referencias!B15</f>
        <v>Desgaste Caderno A5</v>
      </c>
      <c r="B124" s="26">
        <v>1</v>
      </c>
      <c r="C124" s="6">
        <f>Referencias!F15</f>
        <v>2</v>
      </c>
      <c r="D124" s="6">
        <f t="shared" si="7"/>
        <v>2</v>
      </c>
      <c r="E124" s="18"/>
      <c r="F124" s="18"/>
      <c r="G124" s="18"/>
    </row>
    <row r="125" spans="1:7" ht="15">
      <c r="A125" s="19" t="str">
        <f>Referencias!B17</f>
        <v>Embalagem Padrão</v>
      </c>
      <c r="B125" s="26">
        <v>1</v>
      </c>
      <c r="C125" s="6">
        <f>Referencias!F17</f>
        <v>1.5</v>
      </c>
      <c r="D125" s="21">
        <f t="shared" si="7"/>
        <v>1.5</v>
      </c>
      <c r="E125" s="18"/>
      <c r="F125" s="18"/>
      <c r="G125" s="18"/>
    </row>
    <row r="126" spans="1:7" ht="15">
      <c r="A126" s="22" t="s">
        <v>312</v>
      </c>
      <c r="B126" s="27"/>
      <c r="C126" s="28"/>
      <c r="D126" s="23">
        <f>SUM(D113:D125)</f>
        <v>25.400000000000002</v>
      </c>
      <c r="E126" s="18"/>
      <c r="F126" s="18"/>
      <c r="G126" s="18"/>
    </row>
    <row r="127" spans="1:7" ht="15">
      <c r="A127" s="22" t="s">
        <v>313</v>
      </c>
      <c r="B127" s="24">
        <v>0.55000000000000004</v>
      </c>
      <c r="C127" s="21">
        <f>D126*B127</f>
        <v>13.970000000000002</v>
      </c>
      <c r="D127" s="23">
        <f>D126+C127</f>
        <v>39.370000000000005</v>
      </c>
      <c r="E127" s="92"/>
      <c r="F127" s="93"/>
      <c r="G127" s="93"/>
    </row>
    <row r="128" spans="1:7" ht="15">
      <c r="A128" s="22" t="s">
        <v>314</v>
      </c>
      <c r="B128" s="29" t="s">
        <v>322</v>
      </c>
      <c r="C128" s="30"/>
      <c r="D128" s="27"/>
      <c r="E128" s="7"/>
      <c r="F128" s="7"/>
      <c r="G128" s="7"/>
    </row>
    <row r="129" spans="1:7" ht="15">
      <c r="A129" s="22" t="s">
        <v>315</v>
      </c>
      <c r="B129" s="32">
        <v>39</v>
      </c>
      <c r="C129" s="30"/>
      <c r="D129" s="23">
        <v>45</v>
      </c>
      <c r="E129" s="16"/>
      <c r="F129" s="16"/>
      <c r="G129" s="16"/>
    </row>
  </sheetData>
  <mergeCells count="13">
    <mergeCell ref="E127:G127"/>
    <mergeCell ref="A1:C1"/>
    <mergeCell ref="A23:C23"/>
    <mergeCell ref="E37:G37"/>
    <mergeCell ref="A41:C41"/>
    <mergeCell ref="E55:G55"/>
    <mergeCell ref="A59:C59"/>
    <mergeCell ref="A77:C77"/>
    <mergeCell ref="E73:G73"/>
    <mergeCell ref="E91:G91"/>
    <mergeCell ref="A95:C95"/>
    <mergeCell ref="E108:G108"/>
    <mergeCell ref="A112:C11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J195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10" ht="15.75" customHeight="1">
      <c r="A1" s="89" t="s">
        <v>329</v>
      </c>
      <c r="B1" s="90"/>
      <c r="C1" s="91"/>
      <c r="D1" s="3">
        <v>79.900000000000006</v>
      </c>
    </row>
    <row r="2" spans="1:10" ht="15.75" customHeight="1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3" si="0">B2*C2</f>
        <v>3</v>
      </c>
    </row>
    <row r="3" spans="1:10" ht="15.75" customHeight="1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</row>
    <row r="4" spans="1:10" ht="15.75" customHeight="1">
      <c r="A4" s="12" t="str">
        <f>Referencias!B31</f>
        <v>bopp</v>
      </c>
      <c r="B4" s="13">
        <f>0.3*2</f>
        <v>0.6</v>
      </c>
      <c r="C4" s="6">
        <f>Referencias!F31</f>
        <v>0.45</v>
      </c>
      <c r="D4" s="6">
        <f t="shared" si="0"/>
        <v>0.27</v>
      </c>
    </row>
    <row r="5" spans="1:10" ht="15.75" customHeight="1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</row>
    <row r="6" spans="1:10" ht="15.75" customHeight="1">
      <c r="A6" s="12" t="str">
        <f>Referencias!B40</f>
        <v>miolo 75gr A5</v>
      </c>
      <c r="B6" s="13">
        <v>204</v>
      </c>
      <c r="C6" s="6">
        <f>Referencias!F40</f>
        <v>0.03</v>
      </c>
      <c r="D6" s="6">
        <f t="shared" si="0"/>
        <v>6.12</v>
      </c>
    </row>
    <row r="7" spans="1:10" ht="15.75" customHeight="1">
      <c r="A7" s="12" t="str">
        <f>Referencias!B215</f>
        <v>Color plus metalico Aspen 120g A4</v>
      </c>
      <c r="B7" s="13">
        <v>1</v>
      </c>
      <c r="C7" s="6">
        <f>Referencias!F215</f>
        <v>0.7</v>
      </c>
      <c r="D7" s="6">
        <f t="shared" si="0"/>
        <v>0.7</v>
      </c>
    </row>
    <row r="8" spans="1:10" ht="15.75" customHeight="1">
      <c r="A8" s="12" t="str">
        <f>Referencias!B120</f>
        <v>Espiral 33mm plastico</v>
      </c>
      <c r="B8" s="13">
        <v>1</v>
      </c>
      <c r="C8" s="6">
        <f>Referencias!F120</f>
        <v>2.48</v>
      </c>
      <c r="D8" s="6">
        <f t="shared" si="0"/>
        <v>2.48</v>
      </c>
    </row>
    <row r="9" spans="1:10" ht="15.75" customHeight="1">
      <c r="A9" s="12" t="str">
        <f>Referencias!B22</f>
        <v>Impressao Capa A4</v>
      </c>
      <c r="B9" s="13">
        <v>2</v>
      </c>
      <c r="C9" s="6">
        <f>Referencias!F22</f>
        <v>0.5</v>
      </c>
      <c r="D9" s="6">
        <f t="shared" si="0"/>
        <v>1</v>
      </c>
    </row>
    <row r="10" spans="1:10" ht="15.75" customHeight="1">
      <c r="A10" s="12" t="str">
        <f>Referencias!B29</f>
        <v>Impressao Miolo Frente Verso A5</v>
      </c>
      <c r="B10" s="13">
        <v>204</v>
      </c>
      <c r="C10" s="6">
        <f>Referencias!F29</f>
        <v>0.06</v>
      </c>
      <c r="D10" s="6">
        <f t="shared" si="0"/>
        <v>12.24</v>
      </c>
    </row>
    <row r="11" spans="1:10" ht="15.75" customHeight="1">
      <c r="A11" s="12" t="str">
        <f>Referencias!B62</f>
        <v>Frete</v>
      </c>
      <c r="B11" s="12"/>
      <c r="C11" s="6">
        <f>Referencias!F62</f>
        <v>0</v>
      </c>
      <c r="D11" s="6">
        <f t="shared" si="0"/>
        <v>0</v>
      </c>
      <c r="F11" s="39"/>
      <c r="G11" s="39"/>
      <c r="H11" s="39"/>
      <c r="I11" s="39"/>
      <c r="J11" s="39"/>
    </row>
    <row r="12" spans="1:10" ht="15.75" customHeight="1">
      <c r="A12" s="12" t="str">
        <f>Referencias!B13</f>
        <v>Desgaste Agenda</v>
      </c>
      <c r="B12" s="13">
        <v>1</v>
      </c>
      <c r="C12" s="6">
        <f>Referencias!F13</f>
        <v>1</v>
      </c>
      <c r="D12" s="6">
        <f t="shared" si="0"/>
        <v>1</v>
      </c>
    </row>
    <row r="13" spans="1:10" ht="15.75" customHeight="1">
      <c r="A13" s="12" t="str">
        <f>Referencias!B17</f>
        <v>Embalagem Padrão</v>
      </c>
      <c r="B13" s="13">
        <v>1</v>
      </c>
      <c r="C13" s="6">
        <f>Referencias!F17</f>
        <v>1.5</v>
      </c>
      <c r="D13" s="6">
        <f t="shared" si="0"/>
        <v>1.5</v>
      </c>
    </row>
    <row r="14" spans="1:10" ht="15.75" customHeight="1">
      <c r="A14" s="2" t="s">
        <v>312</v>
      </c>
      <c r="B14" s="12"/>
      <c r="C14" s="10"/>
      <c r="D14" s="3">
        <f>SUM(D2:D13)</f>
        <v>31.409999999999997</v>
      </c>
      <c r="E14" s="39"/>
      <c r="F14" s="39"/>
    </row>
    <row r="15" spans="1:10" ht="15.75" customHeight="1">
      <c r="A15" s="2" t="s">
        <v>313</v>
      </c>
      <c r="B15" s="15">
        <v>0.55000000000000004</v>
      </c>
      <c r="C15" s="6">
        <f>D14*B15</f>
        <v>17.275500000000001</v>
      </c>
      <c r="D15" s="3">
        <f>D14+C15</f>
        <v>48.685499999999998</v>
      </c>
      <c r="E15" s="92"/>
      <c r="F15" s="93"/>
      <c r="G15" s="93"/>
    </row>
    <row r="16" spans="1:10" ht="15.75" customHeight="1">
      <c r="A16" s="2" t="s">
        <v>314</v>
      </c>
      <c r="B16" s="40" t="s">
        <v>330</v>
      </c>
      <c r="C16" s="36" t="s">
        <v>331</v>
      </c>
      <c r="D16" s="10"/>
      <c r="E16" s="7"/>
      <c r="F16" s="7"/>
      <c r="G16" s="7"/>
    </row>
    <row r="17" spans="1:9" ht="15.75" customHeight="1">
      <c r="A17" s="2" t="s">
        <v>315</v>
      </c>
      <c r="B17" s="37">
        <v>69</v>
      </c>
      <c r="C17" s="41">
        <v>75</v>
      </c>
      <c r="D17" s="3">
        <v>89.9</v>
      </c>
      <c r="E17" s="16"/>
      <c r="F17" s="16"/>
      <c r="G17" s="16"/>
      <c r="I17" s="42"/>
    </row>
    <row r="19" spans="1:9" ht="15.75" customHeight="1">
      <c r="A19" s="89" t="s">
        <v>332</v>
      </c>
      <c r="B19" s="90"/>
      <c r="C19" s="91"/>
      <c r="D19" s="3">
        <v>55.9</v>
      </c>
    </row>
    <row r="20" spans="1:9" ht="15.75" customHeight="1">
      <c r="A20" s="12" t="str">
        <f>Referencias!B57</f>
        <v>Papelão 15x18,5</v>
      </c>
      <c r="B20" s="13">
        <v>2</v>
      </c>
      <c r="C20" s="6">
        <f>Referencias!F57</f>
        <v>1.5</v>
      </c>
      <c r="D20" s="6">
        <f t="shared" ref="D20:D31" si="1">B20*C20</f>
        <v>3</v>
      </c>
    </row>
    <row r="21" spans="1:9" ht="15.75" customHeight="1">
      <c r="A21" s="12" t="str">
        <f>Referencias!B53</f>
        <v>Papel fotografico A4</v>
      </c>
      <c r="B21" s="13">
        <v>2</v>
      </c>
      <c r="C21" s="6">
        <f>Referencias!F53</f>
        <v>0.8</v>
      </c>
      <c r="D21" s="6">
        <f t="shared" si="1"/>
        <v>1.6</v>
      </c>
    </row>
    <row r="22" spans="1:9" ht="15.75" customHeight="1">
      <c r="A22" s="12" t="str">
        <f>Referencias!B31</f>
        <v>bopp</v>
      </c>
      <c r="B22" s="13">
        <f>0.3*2</f>
        <v>0.6</v>
      </c>
      <c r="C22" s="6">
        <f>Referencias!F31</f>
        <v>0.45</v>
      </c>
      <c r="D22" s="6">
        <f t="shared" si="1"/>
        <v>0.27</v>
      </c>
    </row>
    <row r="23" spans="1:9" ht="15.75" customHeight="1">
      <c r="A23" s="12" t="str">
        <f>Referencias!B47</f>
        <v>Papel guarda 14,5x18 offset adesivo</v>
      </c>
      <c r="B23" s="13">
        <v>2</v>
      </c>
      <c r="C23" s="6">
        <f>Referencias!F47</f>
        <v>0.75</v>
      </c>
      <c r="D23" s="6">
        <f t="shared" si="1"/>
        <v>1.5</v>
      </c>
    </row>
    <row r="24" spans="1:9" ht="15.75" customHeight="1">
      <c r="A24" s="12" t="str">
        <f>Referencias!B46</f>
        <v>miolo 90gr A5 14x18</v>
      </c>
      <c r="B24" s="13">
        <v>114</v>
      </c>
      <c r="C24" s="6">
        <f>Referencias!F46</f>
        <v>0.05</v>
      </c>
      <c r="D24" s="6">
        <f t="shared" si="1"/>
        <v>5.7</v>
      </c>
    </row>
    <row r="25" spans="1:9" ht="15.75" customHeight="1">
      <c r="A25" s="12" t="str">
        <f>Referencias!B215</f>
        <v>Color plus metalico Aspen 120g A4</v>
      </c>
      <c r="B25" s="13">
        <v>1</v>
      </c>
      <c r="C25" s="6">
        <f>Referencias!F215</f>
        <v>0.7</v>
      </c>
      <c r="D25" s="6">
        <f t="shared" si="1"/>
        <v>0.7</v>
      </c>
    </row>
    <row r="26" spans="1:9" ht="15.75" customHeight="1">
      <c r="A26" s="12" t="str">
        <f>Referencias!B19</f>
        <v>Espiral 29mm</v>
      </c>
      <c r="B26" s="13">
        <v>1</v>
      </c>
      <c r="C26" s="6">
        <f>Referencias!F19</f>
        <v>1.83</v>
      </c>
      <c r="D26" s="6">
        <f t="shared" si="1"/>
        <v>1.83</v>
      </c>
    </row>
    <row r="27" spans="1:9" ht="15.75" customHeight="1">
      <c r="A27" s="12" t="str">
        <f>Referencias!B22</f>
        <v>Impressao Capa A4</v>
      </c>
      <c r="B27" s="13">
        <v>2</v>
      </c>
      <c r="C27" s="6">
        <f>Referencias!F22</f>
        <v>0.5</v>
      </c>
      <c r="D27" s="6">
        <f t="shared" si="1"/>
        <v>1</v>
      </c>
    </row>
    <row r="28" spans="1:9" ht="15.75" customHeight="1">
      <c r="A28" s="12" t="str">
        <f>Referencias!B29</f>
        <v>Impressao Miolo Frente Verso A5</v>
      </c>
      <c r="B28" s="13">
        <v>114</v>
      </c>
      <c r="C28" s="6">
        <f>Referencias!F29</f>
        <v>0.06</v>
      </c>
      <c r="D28" s="6">
        <f t="shared" si="1"/>
        <v>6.84</v>
      </c>
    </row>
    <row r="29" spans="1:9" ht="15.75" customHeight="1">
      <c r="A29" s="12" t="str">
        <f>Referencias!B62</f>
        <v>Frete</v>
      </c>
      <c r="B29" s="12"/>
      <c r="C29" s="6">
        <f>Referencias!F62</f>
        <v>0</v>
      </c>
      <c r="D29" s="6">
        <f t="shared" si="1"/>
        <v>0</v>
      </c>
    </row>
    <row r="30" spans="1:9" ht="15.75" customHeight="1">
      <c r="A30" s="12" t="str">
        <f>Referencias!B13</f>
        <v>Desgaste Agenda</v>
      </c>
      <c r="B30" s="13">
        <v>1</v>
      </c>
      <c r="C30" s="6">
        <f>Referencias!F13</f>
        <v>1</v>
      </c>
      <c r="D30" s="6">
        <f t="shared" si="1"/>
        <v>1</v>
      </c>
    </row>
    <row r="31" spans="1:9" ht="15.75" customHeight="1">
      <c r="A31" s="12" t="str">
        <f>Referencias!B17</f>
        <v>Embalagem Padrão</v>
      </c>
      <c r="B31" s="13">
        <v>1</v>
      </c>
      <c r="C31" s="6">
        <f>Referencias!F17</f>
        <v>1.5</v>
      </c>
      <c r="D31" s="6">
        <f t="shared" si="1"/>
        <v>1.5</v>
      </c>
    </row>
    <row r="32" spans="1:9" ht="15.75" customHeight="1">
      <c r="A32" s="2" t="s">
        <v>312</v>
      </c>
      <c r="B32" s="12"/>
      <c r="C32" s="10"/>
      <c r="D32" s="3">
        <f>SUM(D20:D31)</f>
        <v>24.939999999999998</v>
      </c>
      <c r="E32" s="39"/>
      <c r="F32" s="39"/>
    </row>
    <row r="33" spans="1:9" ht="15.75" customHeight="1">
      <c r="A33" s="2" t="s">
        <v>313</v>
      </c>
      <c r="B33" s="15">
        <v>0.55000000000000004</v>
      </c>
      <c r="C33" s="6">
        <f>D32*B33</f>
        <v>13.717000000000001</v>
      </c>
      <c r="D33" s="3">
        <f>D32+C33</f>
        <v>38.656999999999996</v>
      </c>
      <c r="E33" s="92"/>
      <c r="F33" s="93"/>
      <c r="G33" s="93"/>
    </row>
    <row r="34" spans="1:9" ht="15.75" customHeight="1">
      <c r="A34" s="2" t="s">
        <v>314</v>
      </c>
      <c r="B34" s="40" t="s">
        <v>330</v>
      </c>
      <c r="C34" s="36" t="s">
        <v>331</v>
      </c>
      <c r="D34" s="10"/>
      <c r="E34" s="7"/>
      <c r="F34" s="7"/>
      <c r="G34" s="7"/>
    </row>
    <row r="35" spans="1:9" ht="15.75" customHeight="1">
      <c r="A35" s="2" t="s">
        <v>315</v>
      </c>
      <c r="B35" s="37">
        <v>54.9</v>
      </c>
      <c r="C35" s="41">
        <v>59</v>
      </c>
      <c r="D35" s="3">
        <v>65.900000000000006</v>
      </c>
      <c r="E35" s="16"/>
      <c r="F35" s="16"/>
      <c r="G35" s="16"/>
      <c r="I35" s="42"/>
    </row>
    <row r="37" spans="1:9" ht="15">
      <c r="A37" s="89" t="s">
        <v>333</v>
      </c>
      <c r="B37" s="90"/>
      <c r="C37" s="91"/>
      <c r="D37" s="3">
        <v>85.9</v>
      </c>
    </row>
    <row r="38" spans="1:9" ht="15">
      <c r="A38" s="12" t="str">
        <f>Referencias!B58</f>
        <v>Papelão 16x22</v>
      </c>
      <c r="B38" s="13">
        <v>2</v>
      </c>
      <c r="C38" s="6">
        <f>Referencias!F58</f>
        <v>1.5</v>
      </c>
      <c r="D38" s="6">
        <f t="shared" ref="D38:D49" si="2">B38*C38</f>
        <v>3</v>
      </c>
    </row>
    <row r="39" spans="1:9" ht="15">
      <c r="A39" s="12" t="str">
        <f>Referencias!B53</f>
        <v>Papel fotografico A4</v>
      </c>
      <c r="B39" s="13">
        <v>2</v>
      </c>
      <c r="C39" s="6">
        <f>Referencias!F53</f>
        <v>0.8</v>
      </c>
      <c r="D39" s="6">
        <f t="shared" si="2"/>
        <v>1.6</v>
      </c>
    </row>
    <row r="40" spans="1:9" ht="15">
      <c r="A40" s="12" t="str">
        <f>Referencias!B31</f>
        <v>bopp</v>
      </c>
      <c r="B40" s="13">
        <f>0.3*2</f>
        <v>0.6</v>
      </c>
      <c r="C40" s="6">
        <f>Referencias!F31</f>
        <v>0.45</v>
      </c>
      <c r="D40" s="6">
        <f t="shared" si="2"/>
        <v>0.27</v>
      </c>
    </row>
    <row r="41" spans="1:9" ht="15">
      <c r="A41" s="12" t="str">
        <f>Referencias!B48</f>
        <v>Papel guarda 15,5x21,5 offset adesivo</v>
      </c>
      <c r="B41" s="13">
        <v>2</v>
      </c>
      <c r="C41" s="6">
        <f>Referencias!F48</f>
        <v>0.75</v>
      </c>
      <c r="D41" s="6">
        <f t="shared" si="2"/>
        <v>1.5</v>
      </c>
    </row>
    <row r="42" spans="1:9" ht="15">
      <c r="A42" s="12" t="str">
        <f>Referencias!B40</f>
        <v>miolo 75gr A5</v>
      </c>
      <c r="B42" s="13">
        <v>209</v>
      </c>
      <c r="C42" s="6">
        <f>Referencias!F40</f>
        <v>0.03</v>
      </c>
      <c r="D42" s="6">
        <f t="shared" si="2"/>
        <v>6.27</v>
      </c>
    </row>
    <row r="43" spans="1:9" ht="15">
      <c r="A43" s="12" t="str">
        <f>Referencias!B215</f>
        <v>Color plus metalico Aspen 120g A4</v>
      </c>
      <c r="B43" s="13">
        <v>1</v>
      </c>
      <c r="C43" s="6">
        <f>Referencias!F215</f>
        <v>0.7</v>
      </c>
      <c r="D43" s="6">
        <f t="shared" si="2"/>
        <v>0.7</v>
      </c>
    </row>
    <row r="44" spans="1:9" ht="15">
      <c r="A44" s="12" t="str">
        <f>Referencias!B120</f>
        <v>Espiral 33mm plastico</v>
      </c>
      <c r="B44" s="13">
        <v>1</v>
      </c>
      <c r="C44" s="6">
        <f>Referencias!F120</f>
        <v>2.48</v>
      </c>
      <c r="D44" s="6">
        <f t="shared" si="2"/>
        <v>2.48</v>
      </c>
    </row>
    <row r="45" spans="1:9" ht="15">
      <c r="A45" s="12" t="str">
        <f>Referencias!B22</f>
        <v>Impressao Capa A4</v>
      </c>
      <c r="B45" s="13">
        <v>2</v>
      </c>
      <c r="C45" s="6">
        <f>Referencias!F22</f>
        <v>0.5</v>
      </c>
      <c r="D45" s="6">
        <f t="shared" si="2"/>
        <v>1</v>
      </c>
      <c r="F45" s="14"/>
    </row>
    <row r="46" spans="1:9" ht="15">
      <c r="A46" s="12" t="str">
        <f>Referencias!B29</f>
        <v>Impressao Miolo Frente Verso A5</v>
      </c>
      <c r="B46" s="13">
        <v>209</v>
      </c>
      <c r="C46" s="6">
        <f>Referencias!F29</f>
        <v>0.06</v>
      </c>
      <c r="D46" s="6">
        <f t="shared" si="2"/>
        <v>12.54</v>
      </c>
    </row>
    <row r="47" spans="1:9" ht="15">
      <c r="A47" s="12" t="str">
        <f>Referencias!B62</f>
        <v>Frete</v>
      </c>
      <c r="B47" s="12"/>
      <c r="C47" s="6">
        <f>Referencias!F62</f>
        <v>0</v>
      </c>
      <c r="D47" s="6">
        <f t="shared" si="2"/>
        <v>0</v>
      </c>
    </row>
    <row r="48" spans="1:9" ht="15">
      <c r="A48" s="12" t="str">
        <f>Referencias!B13</f>
        <v>Desgaste Agenda</v>
      </c>
      <c r="B48" s="13">
        <v>1</v>
      </c>
      <c r="C48" s="6">
        <f>Referencias!F13</f>
        <v>1</v>
      </c>
      <c r="D48" s="6">
        <f t="shared" si="2"/>
        <v>1</v>
      </c>
    </row>
    <row r="49" spans="1:7" ht="15">
      <c r="A49" s="12" t="str">
        <f>Referencias!B17</f>
        <v>Embalagem Padrão</v>
      </c>
      <c r="B49" s="13">
        <v>1</v>
      </c>
      <c r="C49" s="6">
        <f>Referencias!F17</f>
        <v>1.5</v>
      </c>
      <c r="D49" s="6">
        <f t="shared" si="2"/>
        <v>1.5</v>
      </c>
    </row>
    <row r="50" spans="1:7" ht="15">
      <c r="A50" s="2" t="s">
        <v>312</v>
      </c>
      <c r="B50" s="12"/>
      <c r="C50" s="6"/>
      <c r="D50" s="3">
        <f>SUM(D38:D49)</f>
        <v>31.86</v>
      </c>
    </row>
    <row r="51" spans="1:7" ht="15">
      <c r="A51" s="2" t="s">
        <v>313</v>
      </c>
      <c r="B51" s="15">
        <v>0.55000000000000004</v>
      </c>
      <c r="C51" s="6">
        <f>D50*B51</f>
        <v>17.523</v>
      </c>
      <c r="D51" s="3">
        <f>D50+C51</f>
        <v>49.382999999999996</v>
      </c>
      <c r="E51" s="92"/>
      <c r="F51" s="93"/>
      <c r="G51" s="93"/>
    </row>
    <row r="52" spans="1:7" ht="15">
      <c r="A52" s="2" t="s">
        <v>314</v>
      </c>
      <c r="B52" s="40" t="s">
        <v>330</v>
      </c>
      <c r="C52" s="36"/>
      <c r="D52" s="10"/>
      <c r="E52" s="7"/>
      <c r="F52" s="7"/>
      <c r="G52" s="7"/>
    </row>
    <row r="53" spans="1:7" ht="15">
      <c r="A53" s="2" t="s">
        <v>315</v>
      </c>
      <c r="B53" s="37">
        <v>84.9</v>
      </c>
      <c r="C53" s="36"/>
      <c r="D53" s="3">
        <v>85.9</v>
      </c>
      <c r="E53" s="16"/>
      <c r="F53" s="16"/>
      <c r="G53" s="16"/>
    </row>
    <row r="55" spans="1:7" ht="15">
      <c r="A55" s="89" t="s">
        <v>334</v>
      </c>
      <c r="B55" s="90"/>
      <c r="C55" s="91"/>
      <c r="D55" s="3">
        <v>25</v>
      </c>
    </row>
    <row r="56" spans="1:7" ht="15">
      <c r="A56" s="12" t="str">
        <f>Referencias!B56</f>
        <v>Papelão 15,5x21,5+2,5x21,5</v>
      </c>
      <c r="B56" s="13">
        <v>2</v>
      </c>
      <c r="C56" s="6">
        <f>Referencias!F56</f>
        <v>1.5</v>
      </c>
      <c r="D56" s="6">
        <f t="shared" ref="D56:D66" si="3">B56*C56</f>
        <v>3</v>
      </c>
    </row>
    <row r="57" spans="1:7" ht="15">
      <c r="A57" s="12" t="str">
        <f>Referencias!B53</f>
        <v>Papel fotografico A4</v>
      </c>
      <c r="B57" s="13">
        <v>2</v>
      </c>
      <c r="C57" s="6">
        <f>Referencias!F53</f>
        <v>0.8</v>
      </c>
      <c r="D57" s="6">
        <f t="shared" si="3"/>
        <v>1.6</v>
      </c>
    </row>
    <row r="58" spans="1:7" ht="15">
      <c r="A58" s="12" t="str">
        <f>Referencias!B31</f>
        <v>bopp</v>
      </c>
      <c r="B58" s="13">
        <f>0.3*2</f>
        <v>0.6</v>
      </c>
      <c r="C58" s="6">
        <f>Referencias!F31</f>
        <v>0.45</v>
      </c>
      <c r="D58" s="6">
        <f t="shared" si="3"/>
        <v>0.27</v>
      </c>
    </row>
    <row r="59" spans="1:7" ht="15">
      <c r="A59" s="12" t="str">
        <f>Referencias!B50</f>
        <v>Papel guarda 20x20 offset adesivo</v>
      </c>
      <c r="B59" s="13">
        <v>2</v>
      </c>
      <c r="C59" s="6">
        <f>Referencias!F50</f>
        <v>0.75</v>
      </c>
      <c r="D59" s="6">
        <f t="shared" si="3"/>
        <v>1.5</v>
      </c>
    </row>
    <row r="60" spans="1:7" ht="15">
      <c r="A60" s="12" t="str">
        <f>Referencias!B36</f>
        <v>miolo 180g A5</v>
      </c>
      <c r="B60" s="13">
        <v>12</v>
      </c>
      <c r="C60" s="6">
        <f>Referencias!F36</f>
        <v>0.16</v>
      </c>
      <c r="D60" s="6">
        <f t="shared" si="3"/>
        <v>1.92</v>
      </c>
    </row>
    <row r="61" spans="1:7" ht="15">
      <c r="A61" s="12" t="str">
        <f>Referencias!B18</f>
        <v>Espiral 17mm</v>
      </c>
      <c r="B61" s="13">
        <v>1</v>
      </c>
      <c r="C61" s="6">
        <f>Referencias!F18</f>
        <v>0.52</v>
      </c>
      <c r="D61" s="6">
        <f t="shared" si="3"/>
        <v>0.52</v>
      </c>
    </row>
    <row r="62" spans="1:7" ht="15">
      <c r="A62" s="12" t="str">
        <f>Referencias!B22</f>
        <v>Impressao Capa A4</v>
      </c>
      <c r="B62" s="13">
        <v>2</v>
      </c>
      <c r="C62" s="6">
        <f>Referencias!F22</f>
        <v>0.5</v>
      </c>
      <c r="D62" s="6">
        <f t="shared" si="3"/>
        <v>1</v>
      </c>
    </row>
    <row r="63" spans="1:7" ht="15">
      <c r="A63" s="12" t="str">
        <f>Referencias!B29</f>
        <v>Impressao Miolo Frente Verso A5</v>
      </c>
      <c r="B63" s="13">
        <v>12</v>
      </c>
      <c r="C63" s="6">
        <f>Referencias!F29</f>
        <v>0.06</v>
      </c>
      <c r="D63" s="6">
        <f t="shared" si="3"/>
        <v>0.72</v>
      </c>
    </row>
    <row r="64" spans="1:7" ht="15">
      <c r="A64" s="12" t="str">
        <f>Referencias!B62</f>
        <v>Frete</v>
      </c>
      <c r="B64" s="12"/>
      <c r="C64" s="6">
        <f>Referencias!F62</f>
        <v>0</v>
      </c>
      <c r="D64" s="6">
        <f t="shared" si="3"/>
        <v>0</v>
      </c>
    </row>
    <row r="65" spans="1:9" ht="15">
      <c r="A65" s="12" t="str">
        <f>Referencias!B14</f>
        <v>Desgaste Bloquinho/Outros</v>
      </c>
      <c r="B65" s="13">
        <v>1</v>
      </c>
      <c r="C65" s="6">
        <f>Referencias!F14</f>
        <v>0.5</v>
      </c>
      <c r="D65" s="6">
        <f t="shared" si="3"/>
        <v>0.5</v>
      </c>
    </row>
    <row r="66" spans="1:9" ht="15">
      <c r="A66" s="12" t="str">
        <f>Referencias!B17</f>
        <v>Embalagem Padrão</v>
      </c>
      <c r="B66" s="13">
        <v>1</v>
      </c>
      <c r="C66" s="6">
        <f>Referencias!F17</f>
        <v>1.5</v>
      </c>
      <c r="D66" s="6">
        <f t="shared" si="3"/>
        <v>1.5</v>
      </c>
    </row>
    <row r="67" spans="1:9" ht="15">
      <c r="A67" s="2" t="s">
        <v>312</v>
      </c>
      <c r="B67" s="12"/>
      <c r="C67" s="10"/>
      <c r="D67" s="3">
        <f>SUM(D56:D66)</f>
        <v>12.53</v>
      </c>
    </row>
    <row r="68" spans="1:9" ht="15">
      <c r="A68" s="2" t="s">
        <v>313</v>
      </c>
      <c r="B68" s="15">
        <v>0.55000000000000004</v>
      </c>
      <c r="C68" s="6">
        <f>D67*B68</f>
        <v>6.8915000000000006</v>
      </c>
      <c r="D68" s="3">
        <f>D67+C68</f>
        <v>19.421500000000002</v>
      </c>
      <c r="E68" s="92"/>
      <c r="F68" s="93"/>
      <c r="G68" s="93"/>
    </row>
    <row r="69" spans="1:9" ht="15">
      <c r="A69" s="2" t="s">
        <v>314</v>
      </c>
      <c r="B69" s="40" t="s">
        <v>330</v>
      </c>
      <c r="C69" s="36"/>
      <c r="D69" s="10"/>
      <c r="E69" s="7"/>
      <c r="F69" s="7"/>
      <c r="G69" s="7"/>
    </row>
    <row r="70" spans="1:9" ht="15">
      <c r="A70" s="2" t="s">
        <v>315</v>
      </c>
      <c r="B70" s="37">
        <v>24.9</v>
      </c>
      <c r="C70" s="41"/>
      <c r="D70" s="3">
        <v>25</v>
      </c>
      <c r="E70" s="16"/>
      <c r="F70" s="16"/>
      <c r="G70" s="16"/>
    </row>
    <row r="72" spans="1:9" ht="15">
      <c r="A72" s="89" t="s">
        <v>335</v>
      </c>
      <c r="B72" s="90"/>
      <c r="C72" s="91"/>
      <c r="D72" s="23">
        <v>15</v>
      </c>
      <c r="E72" s="18"/>
      <c r="F72" s="18"/>
      <c r="G72" s="18"/>
      <c r="H72" s="18"/>
      <c r="I72" s="18"/>
    </row>
    <row r="73" spans="1:9" ht="15">
      <c r="A73" s="19" t="str">
        <f>Referencias!B65</f>
        <v>Papelão A4</v>
      </c>
      <c r="B73" s="26">
        <v>1</v>
      </c>
      <c r="C73" s="21">
        <f>Referencias!F65</f>
        <v>1.5</v>
      </c>
      <c r="D73" s="21">
        <f t="shared" ref="D73:D83" si="4">B73*C73</f>
        <v>1.5</v>
      </c>
      <c r="E73" s="18"/>
      <c r="F73" s="18"/>
      <c r="G73" s="18"/>
      <c r="H73" s="18"/>
      <c r="I73" s="18"/>
    </row>
    <row r="74" spans="1:9" ht="15">
      <c r="A74" s="19" t="str">
        <f>Referencias!B53</f>
        <v>Papel fotografico A4</v>
      </c>
      <c r="B74" s="26">
        <v>1</v>
      </c>
      <c r="C74" s="21">
        <f>Referencias!F53</f>
        <v>0.8</v>
      </c>
      <c r="D74" s="21">
        <f t="shared" si="4"/>
        <v>0.8</v>
      </c>
      <c r="E74" s="18"/>
      <c r="F74" s="18"/>
      <c r="G74" s="18"/>
      <c r="H74" s="18"/>
      <c r="I74" s="18"/>
    </row>
    <row r="75" spans="1:9" ht="15">
      <c r="A75" s="19" t="str">
        <f>Referencias!B31</f>
        <v>bopp</v>
      </c>
      <c r="B75" s="26">
        <f>0.3</f>
        <v>0.3</v>
      </c>
      <c r="C75" s="21">
        <f>Referencias!F31</f>
        <v>0.45</v>
      </c>
      <c r="D75" s="21">
        <f t="shared" si="4"/>
        <v>0.13500000000000001</v>
      </c>
      <c r="E75" s="18"/>
      <c r="F75" s="18"/>
      <c r="G75" s="18"/>
      <c r="H75" s="18"/>
      <c r="I75" s="18"/>
    </row>
    <row r="76" spans="1:9" ht="15">
      <c r="A76" s="19" t="str">
        <f>Referencias!B50</f>
        <v>Papel guarda 20x20 offset adesivo</v>
      </c>
      <c r="B76" s="26">
        <v>1</v>
      </c>
      <c r="C76" s="21">
        <f>Referencias!F50</f>
        <v>0.75</v>
      </c>
      <c r="D76" s="21">
        <f t="shared" si="4"/>
        <v>0.75</v>
      </c>
      <c r="E76" s="18"/>
      <c r="F76" s="18"/>
      <c r="G76" s="18"/>
      <c r="H76" s="18"/>
      <c r="I76" s="18"/>
    </row>
    <row r="77" spans="1:9" ht="15">
      <c r="A77" s="19" t="str">
        <f>Referencias!B37</f>
        <v>miolo 180gr A4</v>
      </c>
      <c r="B77" s="26">
        <v>3</v>
      </c>
      <c r="C77" s="21">
        <f>Referencias!F37</f>
        <v>0.32</v>
      </c>
      <c r="D77" s="21">
        <f t="shared" si="4"/>
        <v>0.96</v>
      </c>
      <c r="E77" s="18"/>
      <c r="F77" s="18"/>
      <c r="G77" s="18"/>
      <c r="H77" s="18"/>
      <c r="I77" s="18"/>
    </row>
    <row r="78" spans="1:9" ht="15">
      <c r="A78" s="19" t="str">
        <f>Referencias!B18</f>
        <v>Espiral 17mm</v>
      </c>
      <c r="B78" s="26">
        <v>1</v>
      </c>
      <c r="C78" s="21">
        <f>Referencias!F18</f>
        <v>0.52</v>
      </c>
      <c r="D78" s="21">
        <f t="shared" si="4"/>
        <v>0.52</v>
      </c>
      <c r="E78" s="18"/>
      <c r="F78" s="18"/>
      <c r="G78" s="18"/>
      <c r="H78" s="18"/>
      <c r="I78" s="18"/>
    </row>
    <row r="79" spans="1:9" ht="15">
      <c r="A79" s="19" t="str">
        <f>Referencias!B22</f>
        <v>Impressao Capa A4</v>
      </c>
      <c r="B79" s="26">
        <v>1</v>
      </c>
      <c r="C79" s="21">
        <f>Referencias!F22</f>
        <v>0.5</v>
      </c>
      <c r="D79" s="21">
        <f t="shared" si="4"/>
        <v>0.5</v>
      </c>
      <c r="E79" s="18"/>
      <c r="F79" s="18"/>
      <c r="G79" s="18"/>
      <c r="H79" s="18"/>
      <c r="I79" s="18"/>
    </row>
    <row r="80" spans="1:9" ht="15">
      <c r="A80" s="19" t="str">
        <f>Referencias!B28</f>
        <v>Impressao Miolo Frente Verso A4</v>
      </c>
      <c r="B80" s="27">
        <v>3</v>
      </c>
      <c r="C80" s="21">
        <f>Referencias!F28</f>
        <v>0.12</v>
      </c>
      <c r="D80" s="21">
        <f t="shared" si="4"/>
        <v>0.36</v>
      </c>
      <c r="E80" s="18"/>
      <c r="F80" s="18"/>
      <c r="G80" s="18"/>
      <c r="H80" s="18"/>
      <c r="I80" s="18"/>
    </row>
    <row r="81" spans="1:9" ht="15">
      <c r="A81" s="19" t="str">
        <f>Referencias!B62</f>
        <v>Frete</v>
      </c>
      <c r="B81" s="26">
        <v>0</v>
      </c>
      <c r="C81" s="21">
        <f>Referencias!F62</f>
        <v>0</v>
      </c>
      <c r="D81" s="21">
        <f t="shared" si="4"/>
        <v>0</v>
      </c>
      <c r="E81" s="18"/>
      <c r="F81" s="18"/>
      <c r="G81" s="18"/>
      <c r="H81" s="18"/>
      <c r="I81" s="18"/>
    </row>
    <row r="82" spans="1:9" ht="15">
      <c r="A82" s="19" t="str">
        <f>Referencias!B14</f>
        <v>Desgaste Bloquinho/Outros</v>
      </c>
      <c r="B82" s="26">
        <v>1</v>
      </c>
      <c r="C82" s="21">
        <f>Referencias!F14</f>
        <v>0.5</v>
      </c>
      <c r="D82" s="21">
        <f t="shared" si="4"/>
        <v>0.5</v>
      </c>
      <c r="E82" s="18"/>
      <c r="F82" s="18"/>
      <c r="G82" s="18"/>
      <c r="H82" s="18"/>
      <c r="I82" s="18"/>
    </row>
    <row r="83" spans="1:9" ht="15">
      <c r="A83" s="19" t="str">
        <f>Referencias!B17</f>
        <v>Embalagem Padrão</v>
      </c>
      <c r="B83" s="26">
        <v>1</v>
      </c>
      <c r="C83" s="21">
        <f>Referencias!F17</f>
        <v>1.5</v>
      </c>
      <c r="D83" s="21">
        <f t="shared" si="4"/>
        <v>1.5</v>
      </c>
      <c r="E83" s="18"/>
      <c r="F83" s="18"/>
      <c r="G83" s="18"/>
      <c r="H83" s="18"/>
      <c r="I83" s="18"/>
    </row>
    <row r="84" spans="1:9" ht="15">
      <c r="A84" s="22" t="s">
        <v>312</v>
      </c>
      <c r="B84" s="27"/>
      <c r="C84" s="27"/>
      <c r="D84" s="23">
        <f>SUM(D73:D83)</f>
        <v>7.5249999999999995</v>
      </c>
      <c r="E84" s="43"/>
      <c r="F84" s="43"/>
      <c r="G84" s="18"/>
      <c r="H84" s="18"/>
      <c r="I84" s="18"/>
    </row>
    <row r="85" spans="1:9" ht="15">
      <c r="A85" s="22" t="s">
        <v>313</v>
      </c>
      <c r="B85" s="24">
        <v>0.55000000000000004</v>
      </c>
      <c r="C85" s="21">
        <f>D84*B85</f>
        <v>4.1387499999999999</v>
      </c>
      <c r="D85" s="23">
        <f>D84+C85</f>
        <v>11.66375</v>
      </c>
      <c r="E85" s="94"/>
      <c r="F85" s="93"/>
      <c r="G85" s="93"/>
      <c r="H85" s="18"/>
      <c r="I85" s="18"/>
    </row>
    <row r="86" spans="1:9" ht="15">
      <c r="A86" s="22" t="s">
        <v>314</v>
      </c>
      <c r="B86" s="29" t="s">
        <v>330</v>
      </c>
      <c r="C86" s="30" t="s">
        <v>331</v>
      </c>
      <c r="D86" s="27"/>
      <c r="E86" s="31"/>
      <c r="F86" s="31"/>
      <c r="G86" s="31"/>
      <c r="H86" s="18"/>
      <c r="I86" s="18"/>
    </row>
    <row r="87" spans="1:9" ht="15">
      <c r="A87" s="22" t="s">
        <v>315</v>
      </c>
      <c r="B87" s="32">
        <v>18.899999999999999</v>
      </c>
      <c r="C87" s="44">
        <v>11.9</v>
      </c>
      <c r="D87" s="23">
        <v>15</v>
      </c>
      <c r="E87" s="34"/>
      <c r="F87" s="34"/>
      <c r="G87" s="34"/>
      <c r="H87" s="18"/>
      <c r="I87" s="45"/>
    </row>
    <row r="89" spans="1:9" ht="15">
      <c r="A89" s="89" t="s">
        <v>336</v>
      </c>
      <c r="B89" s="90"/>
      <c r="C89" s="91"/>
      <c r="D89" s="3">
        <v>15</v>
      </c>
    </row>
    <row r="90" spans="1:9" ht="15">
      <c r="A90" s="12" t="str">
        <f>Referencias!B61</f>
        <v>Papelão 9,5x10,5+9,5x2</v>
      </c>
      <c r="B90" s="13">
        <v>2</v>
      </c>
      <c r="C90" s="6">
        <f>Referencias!F61</f>
        <v>1.5</v>
      </c>
      <c r="D90" s="6">
        <f t="shared" ref="D90:D100" si="5">B90*C90</f>
        <v>3</v>
      </c>
    </row>
    <row r="91" spans="1:9" ht="15">
      <c r="A91" s="12" t="str">
        <f>Referencias!B53</f>
        <v>Papel fotografico A4</v>
      </c>
      <c r="B91" s="13">
        <v>1</v>
      </c>
      <c r="C91" s="6">
        <f>Referencias!F53</f>
        <v>0.8</v>
      </c>
      <c r="D91" s="6">
        <f t="shared" si="5"/>
        <v>0.8</v>
      </c>
    </row>
    <row r="92" spans="1:9" ht="15">
      <c r="A92" s="12" t="str">
        <f>Referencias!B51</f>
        <v>Papel offset adesivo + guarda</v>
      </c>
      <c r="B92" s="13">
        <v>1</v>
      </c>
      <c r="C92" s="6">
        <f>Referencias!F51</f>
        <v>0.75</v>
      </c>
      <c r="D92" s="6">
        <f t="shared" si="5"/>
        <v>0.75</v>
      </c>
    </row>
    <row r="93" spans="1:9" ht="15">
      <c r="A93" s="12" t="str">
        <f>Referencias!B31</f>
        <v>bopp</v>
      </c>
      <c r="B93" s="13">
        <f>0.3</f>
        <v>0.3</v>
      </c>
      <c r="C93" s="6">
        <f>Referencias!F31</f>
        <v>0.45</v>
      </c>
      <c r="D93" s="6">
        <f t="shared" si="5"/>
        <v>0.13500000000000001</v>
      </c>
    </row>
    <row r="94" spans="1:9" ht="15">
      <c r="A94" s="12" t="str">
        <f>Referencias!B37</f>
        <v>miolo 180gr A4</v>
      </c>
      <c r="B94" s="13">
        <v>3</v>
      </c>
      <c r="C94" s="6">
        <f>Referencias!F37</f>
        <v>0.32</v>
      </c>
      <c r="D94" s="6">
        <f t="shared" si="5"/>
        <v>0.96</v>
      </c>
    </row>
    <row r="95" spans="1:9" ht="15">
      <c r="A95" s="12" t="str">
        <f>Referencias!B18</f>
        <v>Espiral 17mm</v>
      </c>
      <c r="B95" s="13">
        <v>0.34</v>
      </c>
      <c r="C95" s="6">
        <f>Referencias!F18</f>
        <v>0.52</v>
      </c>
      <c r="D95" s="6">
        <f t="shared" si="5"/>
        <v>0.17680000000000001</v>
      </c>
    </row>
    <row r="96" spans="1:9" ht="15">
      <c r="A96" s="12" t="str">
        <f>Referencias!B22</f>
        <v>Impressao Capa A4</v>
      </c>
      <c r="B96" s="13">
        <v>1</v>
      </c>
      <c r="C96" s="6">
        <f>Referencias!F22</f>
        <v>0.5</v>
      </c>
      <c r="D96" s="6">
        <f t="shared" si="5"/>
        <v>0.5</v>
      </c>
    </row>
    <row r="97" spans="1:9" ht="15">
      <c r="A97" s="12" t="str">
        <f>Referencias!B63</f>
        <v>Impressao Miolo Frente A4</v>
      </c>
      <c r="B97" s="13">
        <v>3</v>
      </c>
      <c r="C97" s="6">
        <f>Referencias!F63</f>
        <v>0.06</v>
      </c>
      <c r="D97" s="6">
        <f t="shared" si="5"/>
        <v>0.18</v>
      </c>
    </row>
    <row r="98" spans="1:9" ht="15">
      <c r="A98" s="12" t="str">
        <f>Referencias!B62</f>
        <v>Frete</v>
      </c>
      <c r="B98" s="12">
        <v>0</v>
      </c>
      <c r="C98" s="6">
        <f>Referencias!F62</f>
        <v>0</v>
      </c>
      <c r="D98" s="6">
        <f t="shared" si="5"/>
        <v>0</v>
      </c>
    </row>
    <row r="99" spans="1:9" ht="15">
      <c r="A99" s="12" t="str">
        <f>Referencias!B14</f>
        <v>Desgaste Bloquinho/Outros</v>
      </c>
      <c r="B99" s="13">
        <v>1</v>
      </c>
      <c r="C99" s="6">
        <f>Referencias!F14</f>
        <v>0.5</v>
      </c>
      <c r="D99" s="6">
        <f t="shared" si="5"/>
        <v>0.5</v>
      </c>
    </row>
    <row r="100" spans="1:9" ht="15">
      <c r="A100" s="12" t="str">
        <f>Referencias!B17</f>
        <v>Embalagem Padrão</v>
      </c>
      <c r="B100" s="13">
        <v>1</v>
      </c>
      <c r="C100" s="6">
        <f>Referencias!F17</f>
        <v>1.5</v>
      </c>
      <c r="D100" s="6">
        <f t="shared" si="5"/>
        <v>1.5</v>
      </c>
    </row>
    <row r="101" spans="1:9" ht="15">
      <c r="A101" s="2" t="s">
        <v>312</v>
      </c>
      <c r="B101" s="12"/>
      <c r="C101" s="10"/>
      <c r="D101" s="3">
        <f>SUM(D90:D100)</f>
        <v>8.5017999999999994</v>
      </c>
      <c r="E101" s="39"/>
      <c r="F101" s="39"/>
    </row>
    <row r="102" spans="1:9" ht="15">
      <c r="A102" s="2" t="s">
        <v>313</v>
      </c>
      <c r="B102" s="15">
        <v>0.55000000000000004</v>
      </c>
      <c r="C102" s="6">
        <f>D101*B102</f>
        <v>4.6759899999999996</v>
      </c>
      <c r="D102" s="3">
        <f>D101+C102</f>
        <v>13.177789999999998</v>
      </c>
      <c r="E102" s="92"/>
      <c r="F102" s="93"/>
      <c r="G102" s="93"/>
    </row>
    <row r="103" spans="1:9" ht="15">
      <c r="A103" s="2" t="s">
        <v>314</v>
      </c>
      <c r="B103" s="40" t="s">
        <v>330</v>
      </c>
      <c r="C103" s="36" t="s">
        <v>331</v>
      </c>
      <c r="D103" s="10"/>
      <c r="E103" s="7"/>
      <c r="F103" s="7"/>
      <c r="G103" s="7"/>
    </row>
    <row r="104" spans="1:9" ht="15">
      <c r="A104" s="2" t="s">
        <v>315</v>
      </c>
      <c r="B104" s="37">
        <v>18.899999999999999</v>
      </c>
      <c r="C104" s="41">
        <v>11.9</v>
      </c>
      <c r="D104" s="3">
        <v>15</v>
      </c>
      <c r="E104" s="16"/>
      <c r="F104" s="16"/>
      <c r="G104" s="16"/>
      <c r="I104" s="42"/>
    </row>
    <row r="106" spans="1:9" ht="15">
      <c r="A106" s="89" t="s">
        <v>337</v>
      </c>
      <c r="B106" s="90"/>
      <c r="C106" s="91"/>
      <c r="D106" s="11">
        <v>30</v>
      </c>
    </row>
    <row r="107" spans="1:9" ht="15">
      <c r="A107" s="12" t="str">
        <f>Referencias!B54</f>
        <v>Papel Kraft A4</v>
      </c>
      <c r="B107" s="13">
        <v>1</v>
      </c>
      <c r="C107" s="6">
        <f>Referencias!F54</f>
        <v>0.54</v>
      </c>
      <c r="D107" s="6">
        <f t="shared" ref="D107:D114" si="6">B107*C107</f>
        <v>0.54</v>
      </c>
    </row>
    <row r="108" spans="1:9" ht="15">
      <c r="A108" s="12" t="str">
        <f>Referencias!B41</f>
        <v>Sulfite 75g A4</v>
      </c>
      <c r="B108" s="13">
        <v>27</v>
      </c>
      <c r="C108" s="6">
        <f>Referencias!F41</f>
        <v>0.06</v>
      </c>
      <c r="D108" s="6">
        <f t="shared" si="6"/>
        <v>1.6199999999999999</v>
      </c>
    </row>
    <row r="109" spans="1:9" ht="15">
      <c r="A109" s="12" t="str">
        <f>Referencias!B5</f>
        <v>Cordão Encerado Settanyl</v>
      </c>
      <c r="B109" s="13">
        <v>1.2</v>
      </c>
      <c r="C109" s="6">
        <f>Referencias!F5</f>
        <v>0.16</v>
      </c>
      <c r="D109" s="6">
        <f t="shared" si="6"/>
        <v>0.192</v>
      </c>
    </row>
    <row r="110" spans="1:9" ht="15">
      <c r="A110" s="12" t="str">
        <f>Referencias!B88</f>
        <v>Linha Circulo Maxi Mouline</v>
      </c>
      <c r="B110" s="13">
        <v>4</v>
      </c>
      <c r="C110" s="6">
        <f>Referencias!F88</f>
        <v>0.18</v>
      </c>
      <c r="D110" s="6">
        <f t="shared" si="6"/>
        <v>0.72</v>
      </c>
    </row>
    <row r="111" spans="1:9" ht="15">
      <c r="A111" s="12" t="str">
        <f>Referencias!B28</f>
        <v>Impressao Miolo Frente Verso A4</v>
      </c>
      <c r="B111" s="12">
        <v>27</v>
      </c>
      <c r="C111" s="6">
        <f>Referencias!F28</f>
        <v>0.12</v>
      </c>
      <c r="D111" s="6">
        <f t="shared" si="6"/>
        <v>3.2399999999999998</v>
      </c>
    </row>
    <row r="112" spans="1:9" ht="15">
      <c r="A112" s="12" t="str">
        <f>Referencias!B62</f>
        <v>Frete</v>
      </c>
      <c r="B112" s="12"/>
      <c r="C112" s="6">
        <f>Referencias!F62</f>
        <v>0</v>
      </c>
      <c r="D112" s="6">
        <f t="shared" si="6"/>
        <v>0</v>
      </c>
    </row>
    <row r="113" spans="1:7" ht="15">
      <c r="A113" s="12" t="str">
        <f>Referencias!B14</f>
        <v>Desgaste Bloquinho/Outros</v>
      </c>
      <c r="B113" s="13">
        <v>1</v>
      </c>
      <c r="C113" s="6">
        <f>Referencias!F14</f>
        <v>0.5</v>
      </c>
      <c r="D113" s="6">
        <f t="shared" si="6"/>
        <v>0.5</v>
      </c>
    </row>
    <row r="114" spans="1:7" ht="15">
      <c r="A114" s="12" t="str">
        <f>Referencias!B17</f>
        <v>Embalagem Padrão</v>
      </c>
      <c r="B114" s="13">
        <v>1</v>
      </c>
      <c r="C114" s="6">
        <f>Referencias!F17</f>
        <v>1.5</v>
      </c>
      <c r="D114" s="6">
        <f t="shared" si="6"/>
        <v>1.5</v>
      </c>
    </row>
    <row r="115" spans="1:7" ht="15">
      <c r="A115" s="2" t="s">
        <v>312</v>
      </c>
      <c r="B115" s="12"/>
      <c r="C115" s="6"/>
      <c r="D115" s="3">
        <f>SUM(D107:D114)</f>
        <v>8.3119999999999994</v>
      </c>
    </row>
    <row r="116" spans="1:7" ht="15">
      <c r="A116" s="2" t="s">
        <v>313</v>
      </c>
      <c r="B116" s="15">
        <v>0.55000000000000004</v>
      </c>
      <c r="C116" s="6">
        <f>D115*B116</f>
        <v>4.5716000000000001</v>
      </c>
      <c r="D116" s="3">
        <f>D115+C116</f>
        <v>12.883599999999999</v>
      </c>
      <c r="E116" s="92"/>
      <c r="F116" s="93"/>
      <c r="G116" s="93"/>
    </row>
    <row r="117" spans="1:7" ht="15">
      <c r="A117" s="2" t="s">
        <v>314</v>
      </c>
      <c r="B117" s="12"/>
      <c r="C117" s="10"/>
      <c r="D117" s="10"/>
      <c r="E117" s="7"/>
      <c r="F117" s="7"/>
      <c r="G117" s="7"/>
    </row>
    <row r="118" spans="1:7" ht="15">
      <c r="A118" s="2" t="s">
        <v>315</v>
      </c>
      <c r="B118" s="12"/>
      <c r="C118" s="10"/>
      <c r="D118" s="11">
        <v>30</v>
      </c>
      <c r="E118" s="16"/>
      <c r="F118" s="16"/>
      <c r="G118" s="16"/>
    </row>
    <row r="120" spans="1:7" ht="15">
      <c r="A120" s="89" t="s">
        <v>338</v>
      </c>
      <c r="B120" s="90"/>
      <c r="C120" s="91"/>
      <c r="D120" s="11">
        <v>119.9</v>
      </c>
    </row>
    <row r="121" spans="1:7" ht="15">
      <c r="A121" s="12" t="str">
        <f>Referencias!B59</f>
        <v>Papelão 17x22</v>
      </c>
      <c r="B121" s="13">
        <v>2</v>
      </c>
      <c r="C121" s="6">
        <f>Referencias!F59</f>
        <v>1.5</v>
      </c>
      <c r="D121" s="6">
        <f t="shared" ref="D121:D140" si="7">B121*C121</f>
        <v>3</v>
      </c>
    </row>
    <row r="122" spans="1:7" ht="15">
      <c r="A122" s="12" t="str">
        <f>Referencias!B53</f>
        <v>Papel fotografico A4</v>
      </c>
      <c r="B122" s="13">
        <v>2</v>
      </c>
      <c r="C122" s="6">
        <f>Referencias!F53</f>
        <v>0.8</v>
      </c>
      <c r="D122" s="6">
        <f t="shared" si="7"/>
        <v>1.6</v>
      </c>
    </row>
    <row r="123" spans="1:7" ht="15">
      <c r="A123" s="12" t="str">
        <f>Referencias!B31</f>
        <v>bopp</v>
      </c>
      <c r="B123" s="13">
        <f>0.3*2</f>
        <v>0.6</v>
      </c>
      <c r="C123" s="6">
        <f>Referencias!F31</f>
        <v>0.45</v>
      </c>
      <c r="D123" s="6">
        <f t="shared" si="7"/>
        <v>0.27</v>
      </c>
    </row>
    <row r="124" spans="1:7" ht="15">
      <c r="A124" s="12" t="str">
        <f>Referencias!B49</f>
        <v>Papel guarda 16,5x21,5 offset adesivo</v>
      </c>
      <c r="B124" s="13">
        <v>2</v>
      </c>
      <c r="C124" s="6">
        <f>Referencias!F49</f>
        <v>0.75</v>
      </c>
      <c r="D124" s="6">
        <f t="shared" si="7"/>
        <v>1.5</v>
      </c>
      <c r="F124" s="39"/>
    </row>
    <row r="125" spans="1:7" ht="15">
      <c r="A125" s="12" t="str">
        <f>Referencias!B45</f>
        <v>miolo 90gr A5</v>
      </c>
      <c r="B125" s="13">
        <v>90</v>
      </c>
      <c r="C125" s="6">
        <f>Referencias!F45</f>
        <v>0.05</v>
      </c>
      <c r="D125" s="6">
        <f t="shared" si="7"/>
        <v>4.5</v>
      </c>
    </row>
    <row r="126" spans="1:7" ht="15">
      <c r="A126" s="12" t="str">
        <f>Referencias!B35</f>
        <v>divisórias offset 180gr</v>
      </c>
      <c r="B126" s="13">
        <v>12</v>
      </c>
      <c r="C126" s="6">
        <f>Referencias!F35</f>
        <v>0.32</v>
      </c>
      <c r="D126" s="6">
        <f t="shared" si="7"/>
        <v>3.84</v>
      </c>
    </row>
    <row r="127" spans="1:7" ht="15">
      <c r="A127" s="12" t="str">
        <f>Referencias!B43</f>
        <v>Marcador 90g A6</v>
      </c>
      <c r="B127" s="13">
        <v>1</v>
      </c>
      <c r="C127" s="6">
        <f>Referencias!F43</f>
        <v>0.03</v>
      </c>
      <c r="D127" s="6">
        <f t="shared" si="7"/>
        <v>0.03</v>
      </c>
    </row>
    <row r="128" spans="1:7" ht="15">
      <c r="A128" s="12" t="str">
        <f>Referencias!B33</f>
        <v>Polaseal marcador 1/4 A4</v>
      </c>
      <c r="B128" s="13">
        <v>1</v>
      </c>
      <c r="C128" s="6">
        <f>Referencias!F33</f>
        <v>0.02</v>
      </c>
      <c r="D128" s="6">
        <f t="shared" si="7"/>
        <v>0.02</v>
      </c>
    </row>
    <row r="129" spans="1:7" ht="15">
      <c r="A129" s="12" t="str">
        <f>Referencias!B34</f>
        <v>Bolso  offset 180gr</v>
      </c>
      <c r="B129" s="13">
        <v>1</v>
      </c>
      <c r="C129" s="6">
        <f>Referencias!F34</f>
        <v>0.32</v>
      </c>
      <c r="D129" s="6">
        <f t="shared" si="7"/>
        <v>0.32</v>
      </c>
    </row>
    <row r="130" spans="1:7" ht="15">
      <c r="A130" s="12" t="str">
        <f>Referencias!B32</f>
        <v>Polaseal A4 Divisórias</v>
      </c>
      <c r="B130" s="13">
        <v>12</v>
      </c>
      <c r="C130" s="6">
        <f>Referencias!F32</f>
        <v>0.09</v>
      </c>
      <c r="D130" s="6">
        <f t="shared" si="7"/>
        <v>1.08</v>
      </c>
    </row>
    <row r="131" spans="1:7" ht="15">
      <c r="A131" s="12" t="str">
        <f>Referencias!B6</f>
        <v>Elastico</v>
      </c>
      <c r="B131" s="13">
        <v>0.32</v>
      </c>
      <c r="C131" s="6">
        <f>Referencias!F6</f>
        <v>0.69</v>
      </c>
      <c r="D131" s="6">
        <f t="shared" si="7"/>
        <v>0.2208</v>
      </c>
    </row>
    <row r="132" spans="1:7" ht="15">
      <c r="A132" s="12" t="str">
        <f>Referencias!B120</f>
        <v>Espiral 33mm plastico</v>
      </c>
      <c r="B132" s="13">
        <v>1</v>
      </c>
      <c r="C132" s="6">
        <f>Referencias!F120</f>
        <v>2.48</v>
      </c>
      <c r="D132" s="6">
        <f t="shared" si="7"/>
        <v>2.48</v>
      </c>
    </row>
    <row r="133" spans="1:7" ht="15">
      <c r="A133" s="12" t="str">
        <f>Referencias!B22</f>
        <v>Impressao Capa A4</v>
      </c>
      <c r="B133" s="13">
        <v>2</v>
      </c>
      <c r="C133" s="6">
        <f>Referencias!F22</f>
        <v>0.5</v>
      </c>
      <c r="D133" s="6">
        <f t="shared" si="7"/>
        <v>1</v>
      </c>
    </row>
    <row r="134" spans="1:7" ht="15">
      <c r="A134" s="12" t="str">
        <f>Referencias!B64</f>
        <v>Impressao Divisória A4</v>
      </c>
      <c r="B134" s="13">
        <v>12</v>
      </c>
      <c r="C134" s="6">
        <f>Referencias!F64</f>
        <v>1</v>
      </c>
      <c r="D134" s="6">
        <f t="shared" si="7"/>
        <v>12</v>
      </c>
    </row>
    <row r="135" spans="1:7" ht="15">
      <c r="A135" s="12" t="str">
        <f>Referencias!B29</f>
        <v>Impressao Miolo Frente Verso A5</v>
      </c>
      <c r="B135" s="13">
        <v>100</v>
      </c>
      <c r="C135" s="6">
        <f>Referencias!F29</f>
        <v>0.06</v>
      </c>
      <c r="D135" s="6">
        <f t="shared" si="7"/>
        <v>6</v>
      </c>
    </row>
    <row r="136" spans="1:7" ht="15">
      <c r="A136" s="12" t="str">
        <f>Referencias!B25</f>
        <v>Impressao Marcador Frente Verso 1/4 A4</v>
      </c>
      <c r="B136" s="13">
        <v>1</v>
      </c>
      <c r="C136" s="6">
        <f>Referencias!F25</f>
        <v>0.25</v>
      </c>
      <c r="D136" s="6">
        <f t="shared" si="7"/>
        <v>0.25</v>
      </c>
    </row>
    <row r="137" spans="1:7" ht="15">
      <c r="A137" s="12" t="str">
        <f>Referencias!B21</f>
        <v>Impressao Bolso A4</v>
      </c>
      <c r="B137" s="13">
        <v>1</v>
      </c>
      <c r="C137" s="6">
        <f>Referencias!F21</f>
        <v>1</v>
      </c>
      <c r="D137" s="6">
        <f t="shared" si="7"/>
        <v>1</v>
      </c>
    </row>
    <row r="138" spans="1:7" ht="15">
      <c r="A138" s="12" t="str">
        <f>Referencias!B62</f>
        <v>Frete</v>
      </c>
      <c r="B138" s="12"/>
      <c r="C138" s="6">
        <f>Referencias!F62</f>
        <v>0</v>
      </c>
      <c r="D138" s="6">
        <f t="shared" si="7"/>
        <v>0</v>
      </c>
    </row>
    <row r="139" spans="1:7" ht="15">
      <c r="A139" s="12" t="str">
        <f>Referencias!B16</f>
        <v>Desgaste Planner/Album/Caderno Universitario</v>
      </c>
      <c r="B139" s="13">
        <v>1</v>
      </c>
      <c r="C139" s="6">
        <f>Referencias!F16</f>
        <v>3</v>
      </c>
      <c r="D139" s="6">
        <f t="shared" si="7"/>
        <v>3</v>
      </c>
    </row>
    <row r="140" spans="1:7" ht="15">
      <c r="A140" s="12" t="str">
        <f>Referencias!B17</f>
        <v>Embalagem Padrão</v>
      </c>
      <c r="B140" s="13">
        <v>1</v>
      </c>
      <c r="C140" s="6">
        <f>Referencias!F17</f>
        <v>1.5</v>
      </c>
      <c r="D140" s="6">
        <f t="shared" si="7"/>
        <v>1.5</v>
      </c>
    </row>
    <row r="141" spans="1:7" ht="15">
      <c r="A141" s="2" t="s">
        <v>312</v>
      </c>
      <c r="B141" s="12"/>
      <c r="C141" s="10"/>
      <c r="D141" s="3">
        <f>SUM(D121:D137)</f>
        <v>39.110799999999998</v>
      </c>
    </row>
    <row r="142" spans="1:7" ht="15">
      <c r="A142" s="2" t="s">
        <v>313</v>
      </c>
      <c r="B142" s="15">
        <v>0.55000000000000004</v>
      </c>
      <c r="C142" s="6">
        <f>D141*B142</f>
        <v>21.510940000000002</v>
      </c>
      <c r="D142" s="3">
        <f>D141+C142</f>
        <v>60.621740000000003</v>
      </c>
      <c r="E142" s="92"/>
      <c r="F142" s="93"/>
      <c r="G142" s="93"/>
    </row>
    <row r="143" spans="1:7" ht="15">
      <c r="A143" s="2" t="s">
        <v>314</v>
      </c>
      <c r="B143" s="40" t="s">
        <v>330</v>
      </c>
      <c r="C143" s="36" t="s">
        <v>331</v>
      </c>
      <c r="D143" s="10"/>
      <c r="E143" s="7"/>
      <c r="F143" s="7"/>
      <c r="G143" s="7"/>
    </row>
    <row r="144" spans="1:7" ht="15">
      <c r="A144" s="2" t="s">
        <v>315</v>
      </c>
      <c r="B144" s="37">
        <v>119.9</v>
      </c>
      <c r="C144" s="41">
        <v>155</v>
      </c>
      <c r="D144" s="11">
        <v>119.9</v>
      </c>
      <c r="E144" s="16"/>
      <c r="F144" s="16"/>
      <c r="G144" s="16"/>
    </row>
    <row r="146" spans="1:7" ht="15">
      <c r="A146" s="89" t="s">
        <v>339</v>
      </c>
      <c r="B146" s="90"/>
      <c r="C146" s="91"/>
      <c r="D146" s="11">
        <v>25</v>
      </c>
    </row>
    <row r="147" spans="1:7" ht="15">
      <c r="A147" s="12" t="str">
        <f>Referencias!B149</f>
        <v>Couro 11 cm x 15 cm</v>
      </c>
      <c r="B147" s="13">
        <v>38</v>
      </c>
      <c r="C147" s="6">
        <f>Referencias!F149</f>
        <v>0.02</v>
      </c>
      <c r="D147" s="6">
        <f t="shared" ref="D147:D153" si="8">B147*C147</f>
        <v>0.76</v>
      </c>
    </row>
    <row r="148" spans="1:7" ht="15">
      <c r="A148" s="12" t="str">
        <f>Referencias!B217</f>
        <v>miolo 90gr A7</v>
      </c>
      <c r="B148" s="13">
        <v>60</v>
      </c>
      <c r="C148" s="6">
        <f>Referencias!F217</f>
        <v>0.01</v>
      </c>
      <c r="D148" s="6">
        <f t="shared" si="8"/>
        <v>0.6</v>
      </c>
    </row>
    <row r="149" spans="1:7" ht="15">
      <c r="A149" s="12" t="str">
        <f>Referencias!B5</f>
        <v>Cordão Encerado Settanyl</v>
      </c>
      <c r="B149" s="13">
        <v>0.54</v>
      </c>
      <c r="C149" s="6">
        <f>Referencias!F5</f>
        <v>0.16</v>
      </c>
      <c r="D149" s="6">
        <f t="shared" si="8"/>
        <v>8.6400000000000005E-2</v>
      </c>
    </row>
    <row r="150" spans="1:7" ht="15">
      <c r="A150" s="12" t="str">
        <f>Referencias!B150</f>
        <v>Impressao Miolo Frente Verso A7</v>
      </c>
      <c r="B150" s="13">
        <v>60</v>
      </c>
      <c r="C150" s="6">
        <f>Referencias!F150</f>
        <v>0.02</v>
      </c>
      <c r="D150" s="6">
        <f t="shared" si="8"/>
        <v>1.2</v>
      </c>
    </row>
    <row r="151" spans="1:7" ht="15">
      <c r="A151" s="12" t="str">
        <f>Referencias!B62</f>
        <v>Frete</v>
      </c>
      <c r="B151" s="12"/>
      <c r="C151" s="6">
        <f>Referencias!F62</f>
        <v>0</v>
      </c>
      <c r="D151" s="6">
        <f t="shared" si="8"/>
        <v>0</v>
      </c>
    </row>
    <row r="152" spans="1:7" ht="15">
      <c r="A152" s="12" t="str">
        <f>Referencias!B14</f>
        <v>Desgaste Bloquinho/Outros</v>
      </c>
      <c r="B152" s="13">
        <v>1</v>
      </c>
      <c r="C152" s="6">
        <f>Referencias!F14</f>
        <v>0.5</v>
      </c>
      <c r="D152" s="6">
        <f t="shared" si="8"/>
        <v>0.5</v>
      </c>
    </row>
    <row r="153" spans="1:7" ht="15">
      <c r="A153" s="12" t="str">
        <f>Referencias!B17</f>
        <v>Embalagem Padrão</v>
      </c>
      <c r="B153" s="13">
        <v>1</v>
      </c>
      <c r="C153" s="6">
        <f>Referencias!F17</f>
        <v>1.5</v>
      </c>
      <c r="D153" s="6">
        <f t="shared" si="8"/>
        <v>1.5</v>
      </c>
    </row>
    <row r="154" spans="1:7" ht="15">
      <c r="A154" s="2" t="s">
        <v>312</v>
      </c>
      <c r="B154" s="12"/>
      <c r="C154" s="6"/>
      <c r="D154" s="3">
        <f>SUM(D147:D153)</f>
        <v>4.6463999999999999</v>
      </c>
      <c r="E154" s="39"/>
      <c r="F154" s="39"/>
    </row>
    <row r="155" spans="1:7" ht="15">
      <c r="A155" s="2" t="s">
        <v>313</v>
      </c>
      <c r="B155" s="15">
        <v>0.55000000000000004</v>
      </c>
      <c r="C155" s="6">
        <f>D154*B155</f>
        <v>2.55552</v>
      </c>
      <c r="D155" s="3">
        <f>D154+C155</f>
        <v>7.2019199999999994</v>
      </c>
      <c r="E155" s="92"/>
      <c r="F155" s="93"/>
      <c r="G155" s="93"/>
    </row>
    <row r="156" spans="1:7" ht="15">
      <c r="A156" s="2" t="s">
        <v>314</v>
      </c>
      <c r="B156" s="12"/>
      <c r="C156" s="10"/>
      <c r="D156" s="10"/>
      <c r="E156" s="7"/>
      <c r="F156" s="7"/>
      <c r="G156" s="7"/>
    </row>
    <row r="157" spans="1:7" ht="15">
      <c r="A157" s="2" t="s">
        <v>315</v>
      </c>
      <c r="B157" s="12"/>
      <c r="C157" s="10"/>
      <c r="D157" s="11">
        <v>25</v>
      </c>
      <c r="E157" s="16"/>
      <c r="F157" s="16"/>
      <c r="G157" s="16"/>
    </row>
    <row r="159" spans="1:7" ht="15">
      <c r="A159" s="89" t="s">
        <v>340</v>
      </c>
      <c r="B159" s="90"/>
      <c r="C159" s="91"/>
      <c r="D159" s="11">
        <v>3.5</v>
      </c>
    </row>
    <row r="160" spans="1:7" ht="15">
      <c r="A160" s="12" t="str">
        <f>Referencias!B222</f>
        <v>Miolo Calendário 5x5</v>
      </c>
      <c r="B160" s="13">
        <v>1</v>
      </c>
      <c r="C160" s="6">
        <f>Referencias!F222</f>
        <v>0.21</v>
      </c>
      <c r="D160" s="6">
        <f t="shared" ref="D160:D166" si="9">B160*C160</f>
        <v>0.21</v>
      </c>
    </row>
    <row r="161" spans="1:7" ht="15">
      <c r="A161" s="12" t="str">
        <f>Referencias!B224</f>
        <v>Manta Imantada A6</v>
      </c>
      <c r="B161" s="13">
        <v>1</v>
      </c>
      <c r="C161" s="6">
        <f>Referencias!F224</f>
        <v>0.56999999999999995</v>
      </c>
      <c r="D161" s="6">
        <f t="shared" si="9"/>
        <v>0.56999999999999995</v>
      </c>
    </row>
    <row r="162" spans="1:7" ht="15">
      <c r="A162" s="12" t="str">
        <f>Referencias!B225</f>
        <v>Papel fotografico A6</v>
      </c>
      <c r="B162" s="13">
        <v>1</v>
      </c>
      <c r="C162" s="6">
        <f>Referencias!F225</f>
        <v>0.2</v>
      </c>
      <c r="D162" s="6">
        <f t="shared" si="9"/>
        <v>0.2</v>
      </c>
    </row>
    <row r="163" spans="1:7" ht="15">
      <c r="A163" s="12" t="str">
        <f>Referencias!B31</f>
        <v>bopp</v>
      </c>
      <c r="B163" s="13">
        <v>0.3</v>
      </c>
      <c r="C163" s="6">
        <f>Referencias!F31</f>
        <v>0.45</v>
      </c>
      <c r="D163" s="6">
        <f t="shared" si="9"/>
        <v>0.13500000000000001</v>
      </c>
    </row>
    <row r="164" spans="1:7" ht="15">
      <c r="A164" s="12" t="str">
        <f>Referencias!B24</f>
        <v>Impressao Capa A6</v>
      </c>
      <c r="B164" s="12">
        <v>1</v>
      </c>
      <c r="C164" s="6">
        <f>Referencias!F24</f>
        <v>0.13</v>
      </c>
      <c r="D164" s="6">
        <f t="shared" si="9"/>
        <v>0.13</v>
      </c>
    </row>
    <row r="165" spans="1:7" ht="15">
      <c r="A165" s="12" t="str">
        <f>Referencias!B14</f>
        <v>Desgaste Bloquinho/Outros</v>
      </c>
      <c r="B165" s="13">
        <v>1</v>
      </c>
      <c r="C165" s="6">
        <f>Referencias!F14</f>
        <v>0.5</v>
      </c>
      <c r="D165" s="6">
        <f t="shared" si="9"/>
        <v>0.5</v>
      </c>
      <c r="E165" s="39"/>
      <c r="F165" s="39"/>
    </row>
    <row r="166" spans="1:7" ht="15">
      <c r="A166" s="12" t="str">
        <f>Referencias!B107</f>
        <v>Embalagem Atacado</v>
      </c>
      <c r="B166" s="13">
        <v>1</v>
      </c>
      <c r="C166" s="6">
        <f>Referencias!F107</f>
        <v>0.5</v>
      </c>
      <c r="D166" s="6">
        <f t="shared" si="9"/>
        <v>0.5</v>
      </c>
    </row>
    <row r="167" spans="1:7" ht="15">
      <c r="A167" s="2" t="s">
        <v>312</v>
      </c>
      <c r="B167" s="12"/>
      <c r="C167" s="6"/>
      <c r="D167" s="3">
        <f>SUM(D160:D166)</f>
        <v>2.2450000000000001</v>
      </c>
      <c r="E167" s="39"/>
      <c r="F167" s="39"/>
    </row>
    <row r="168" spans="1:7" ht="15">
      <c r="A168" s="2" t="s">
        <v>313</v>
      </c>
      <c r="B168" s="15">
        <v>0.55000000000000004</v>
      </c>
      <c r="C168" s="6">
        <f>D167*B168</f>
        <v>1.2347500000000002</v>
      </c>
      <c r="D168" s="3">
        <f>D167+C168</f>
        <v>3.4797500000000001</v>
      </c>
      <c r="E168" s="92"/>
      <c r="F168" s="93"/>
      <c r="G168" s="93"/>
    </row>
    <row r="169" spans="1:7" ht="15">
      <c r="A169" s="2" t="s">
        <v>314</v>
      </c>
      <c r="B169" s="12"/>
      <c r="C169" s="10"/>
      <c r="D169" s="10"/>
      <c r="E169" s="7"/>
      <c r="F169" s="7"/>
      <c r="G169" s="7"/>
    </row>
    <row r="170" spans="1:7" ht="15">
      <c r="A170" s="2" t="s">
        <v>315</v>
      </c>
      <c r="B170" s="12"/>
      <c r="C170" s="10"/>
      <c r="D170" s="11">
        <v>4</v>
      </c>
      <c r="E170" s="16"/>
      <c r="F170" s="16"/>
      <c r="G170" s="16"/>
    </row>
    <row r="172" spans="1:7" ht="15">
      <c r="A172" s="89" t="s">
        <v>341</v>
      </c>
      <c r="B172" s="90"/>
      <c r="C172" s="91"/>
      <c r="D172" s="11">
        <v>2.5</v>
      </c>
    </row>
    <row r="173" spans="1:7" ht="15">
      <c r="A173" s="12" t="str">
        <f>Referencias!B222</f>
        <v>Miolo Calendário 5x5</v>
      </c>
      <c r="B173" s="13">
        <v>1</v>
      </c>
      <c r="C173" s="6">
        <f>Referencias!F222</f>
        <v>0.21</v>
      </c>
      <c r="D173" s="6">
        <f t="shared" ref="D173:D179" si="10">B173*C173</f>
        <v>0.21</v>
      </c>
    </row>
    <row r="174" spans="1:7" ht="15">
      <c r="A174" s="12" t="str">
        <f>Referencias!B227</f>
        <v>Manta Imantada 10X5</v>
      </c>
      <c r="B174" s="13">
        <v>1</v>
      </c>
      <c r="C174" s="6">
        <f>Referencias!F227</f>
        <v>0.01</v>
      </c>
      <c r="D174" s="6">
        <f t="shared" si="10"/>
        <v>0.01</v>
      </c>
    </row>
    <row r="175" spans="1:7" ht="15">
      <c r="A175" s="12" t="str">
        <f>Referencias!B226</f>
        <v>Papel fotografico 10X5</v>
      </c>
      <c r="B175" s="13">
        <v>1</v>
      </c>
      <c r="C175" s="6">
        <f>Referencias!F226</f>
        <v>0.02</v>
      </c>
      <c r="D175" s="6">
        <f t="shared" si="10"/>
        <v>0.02</v>
      </c>
    </row>
    <row r="176" spans="1:7" ht="15">
      <c r="A176" s="12" t="str">
        <f>Referencias!B31</f>
        <v>bopp</v>
      </c>
      <c r="B176" s="13">
        <v>0.3</v>
      </c>
      <c r="C176" s="6">
        <f>Referencias!F31</f>
        <v>0.45</v>
      </c>
      <c r="D176" s="6">
        <f t="shared" si="10"/>
        <v>0.13500000000000001</v>
      </c>
    </row>
    <row r="177" spans="1:7" ht="15">
      <c r="A177" s="12" t="str">
        <f>Referencias!B228</f>
        <v>Impressao Bolso 10x5</v>
      </c>
      <c r="B177" s="12">
        <v>1</v>
      </c>
      <c r="C177" s="6">
        <f>Referencias!F228</f>
        <v>0.05</v>
      </c>
      <c r="D177" s="6">
        <f t="shared" si="10"/>
        <v>0.05</v>
      </c>
    </row>
    <row r="178" spans="1:7" ht="15">
      <c r="A178" s="12" t="str">
        <f>Referencias!B14</f>
        <v>Desgaste Bloquinho/Outros</v>
      </c>
      <c r="B178" s="13">
        <v>1</v>
      </c>
      <c r="C178" s="6">
        <f>Referencias!F14</f>
        <v>0.5</v>
      </c>
      <c r="D178" s="6">
        <f t="shared" si="10"/>
        <v>0.5</v>
      </c>
      <c r="E178" s="39"/>
      <c r="F178" s="39"/>
    </row>
    <row r="179" spans="1:7" ht="15">
      <c r="A179" s="12" t="str">
        <f>Referencias!B107</f>
        <v>Embalagem Atacado</v>
      </c>
      <c r="B179" s="13">
        <v>1</v>
      </c>
      <c r="C179" s="6">
        <f>Referencias!F107</f>
        <v>0.5</v>
      </c>
      <c r="D179" s="6">
        <f t="shared" si="10"/>
        <v>0.5</v>
      </c>
    </row>
    <row r="180" spans="1:7" ht="15">
      <c r="A180" s="2" t="s">
        <v>312</v>
      </c>
      <c r="B180" s="12"/>
      <c r="C180" s="6"/>
      <c r="D180" s="3">
        <f>SUM(D173:D179)</f>
        <v>1.425</v>
      </c>
      <c r="E180" s="39"/>
      <c r="F180" s="39"/>
    </row>
    <row r="181" spans="1:7" ht="15">
      <c r="A181" s="2" t="s">
        <v>313</v>
      </c>
      <c r="B181" s="15">
        <v>0.55000000000000004</v>
      </c>
      <c r="C181" s="6">
        <f>D180*B181</f>
        <v>0.78375000000000006</v>
      </c>
      <c r="D181" s="3">
        <f>D180+C181</f>
        <v>2.2087500000000002</v>
      </c>
      <c r="E181" s="92"/>
      <c r="F181" s="93"/>
      <c r="G181" s="93"/>
    </row>
    <row r="182" spans="1:7" ht="15">
      <c r="A182" s="2" t="s">
        <v>314</v>
      </c>
      <c r="B182" s="12"/>
      <c r="C182" s="10"/>
      <c r="D182" s="10"/>
      <c r="E182" s="7"/>
      <c r="F182" s="7"/>
      <c r="G182" s="7"/>
    </row>
    <row r="183" spans="1:7" ht="15">
      <c r="A183" s="2" t="s">
        <v>315</v>
      </c>
      <c r="B183" s="12"/>
      <c r="C183" s="10"/>
      <c r="D183" s="11">
        <v>2.5</v>
      </c>
      <c r="E183" s="16"/>
      <c r="F183" s="16"/>
      <c r="G183" s="16"/>
    </row>
    <row r="185" spans="1:7" ht="15">
      <c r="A185" s="89" t="s">
        <v>342</v>
      </c>
      <c r="B185" s="90"/>
      <c r="C185" s="91"/>
      <c r="D185" s="11">
        <v>3.5</v>
      </c>
    </row>
    <row r="186" spans="1:7" ht="15">
      <c r="A186" s="12" t="str">
        <f>Referencias!B224</f>
        <v>Manta Imantada A6</v>
      </c>
      <c r="B186" s="13">
        <v>150</v>
      </c>
      <c r="C186" s="6">
        <f>Referencias!F224</f>
        <v>0.56999999999999995</v>
      </c>
      <c r="D186" s="6">
        <f t="shared" ref="D186:D191" si="11">B186*C186</f>
        <v>85.499999999999986</v>
      </c>
    </row>
    <row r="187" spans="1:7" ht="15">
      <c r="A187" s="12" t="str">
        <f>Referencias!B31</f>
        <v>bopp</v>
      </c>
      <c r="B187" s="13">
        <f>38*0.3</f>
        <v>11.4</v>
      </c>
      <c r="C187" s="6">
        <f>Referencias!F31</f>
        <v>0.45</v>
      </c>
      <c r="D187" s="6">
        <f t="shared" si="11"/>
        <v>5.13</v>
      </c>
    </row>
    <row r="188" spans="1:7" ht="15">
      <c r="A188" s="14" t="str">
        <f>Referencias!B24</f>
        <v>Impressao Capa A6</v>
      </c>
      <c r="B188" s="13">
        <v>150</v>
      </c>
      <c r="C188" s="6">
        <f>Referencias!F24</f>
        <v>0.13</v>
      </c>
      <c r="D188" s="6">
        <f t="shared" si="11"/>
        <v>19.5</v>
      </c>
    </row>
    <row r="189" spans="1:7" ht="15">
      <c r="A189" s="12" t="str">
        <f>Referencias!B100</f>
        <v>Papel 180gr A6</v>
      </c>
      <c r="B189" s="13">
        <v>150</v>
      </c>
      <c r="C189" s="6">
        <f>Referencias!F100</f>
        <v>0.08</v>
      </c>
      <c r="D189" s="6">
        <f t="shared" si="11"/>
        <v>12</v>
      </c>
    </row>
    <row r="190" spans="1:7" ht="15">
      <c r="A190" s="12" t="str">
        <f>Referencias!B14</f>
        <v>Desgaste Bloquinho/Outros</v>
      </c>
      <c r="B190" s="13">
        <v>1</v>
      </c>
      <c r="C190" s="6">
        <f>Referencias!F14</f>
        <v>0.5</v>
      </c>
      <c r="D190" s="6">
        <f t="shared" si="11"/>
        <v>0.5</v>
      </c>
      <c r="E190" s="39"/>
      <c r="F190" s="39"/>
    </row>
    <row r="191" spans="1:7" ht="15">
      <c r="A191" s="12" t="str">
        <f>Referencias!B17</f>
        <v>Embalagem Padrão</v>
      </c>
      <c r="B191" s="13">
        <v>1</v>
      </c>
      <c r="C191" s="6">
        <f>Referencias!F17</f>
        <v>1.5</v>
      </c>
      <c r="D191" s="6">
        <f t="shared" si="11"/>
        <v>1.5</v>
      </c>
    </row>
    <row r="192" spans="1:7" ht="15">
      <c r="A192" s="2" t="s">
        <v>312</v>
      </c>
      <c r="B192" s="12"/>
      <c r="C192" s="6"/>
      <c r="D192" s="3">
        <f>SUM(D186:D191)</f>
        <v>124.12999999999998</v>
      </c>
      <c r="E192" s="39"/>
      <c r="F192" s="39"/>
    </row>
    <row r="193" spans="1:7" ht="15">
      <c r="A193" s="2" t="s">
        <v>313</v>
      </c>
      <c r="B193" s="15">
        <v>0.55000000000000004</v>
      </c>
      <c r="C193" s="6">
        <f>D192*B193</f>
        <v>68.271499999999989</v>
      </c>
      <c r="D193" s="3">
        <f>D192+C193</f>
        <v>192.40149999999997</v>
      </c>
      <c r="E193" s="92"/>
      <c r="F193" s="93"/>
      <c r="G193" s="93"/>
    </row>
    <row r="194" spans="1:7" ht="15">
      <c r="A194" s="2" t="s">
        <v>314</v>
      </c>
      <c r="B194" s="12"/>
      <c r="C194" s="10"/>
      <c r="D194" s="10"/>
      <c r="E194" s="7"/>
      <c r="F194" s="7"/>
      <c r="G194" s="7"/>
    </row>
    <row r="195" spans="1:7" ht="15">
      <c r="A195" s="2" t="s">
        <v>315</v>
      </c>
      <c r="B195" s="12"/>
      <c r="C195" s="10"/>
      <c r="D195" s="11">
        <v>200</v>
      </c>
      <c r="E195" s="16"/>
      <c r="F195" s="16"/>
      <c r="G195" s="16"/>
    </row>
  </sheetData>
  <mergeCells count="24">
    <mergeCell ref="A1:C1"/>
    <mergeCell ref="E15:G15"/>
    <mergeCell ref="A19:C19"/>
    <mergeCell ref="E33:G33"/>
    <mergeCell ref="A37:C37"/>
    <mergeCell ref="E51:G51"/>
    <mergeCell ref="A55:C55"/>
    <mergeCell ref="E68:G68"/>
    <mergeCell ref="A72:C72"/>
    <mergeCell ref="E85:G85"/>
    <mergeCell ref="A89:C89"/>
    <mergeCell ref="E102:G102"/>
    <mergeCell ref="A106:C106"/>
    <mergeCell ref="A120:C120"/>
    <mergeCell ref="E181:G181"/>
    <mergeCell ref="A185:C185"/>
    <mergeCell ref="E193:G193"/>
    <mergeCell ref="E116:G116"/>
    <mergeCell ref="E142:G142"/>
    <mergeCell ref="A146:C146"/>
    <mergeCell ref="E155:G155"/>
    <mergeCell ref="A159:C159"/>
    <mergeCell ref="E168:G168"/>
    <mergeCell ref="A172:C17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G14"/>
  <sheetViews>
    <sheetView workbookViewId="0">
      <selection activeCell="E12" sqref="E12:H16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7" ht="15.75" customHeight="1">
      <c r="A1" s="89" t="s">
        <v>343</v>
      </c>
      <c r="B1" s="90"/>
      <c r="C1" s="91"/>
      <c r="D1" s="3">
        <v>15</v>
      </c>
    </row>
    <row r="2" spans="1:7" ht="15.75" customHeight="1">
      <c r="A2" s="12" t="str">
        <f>Referencias!B65</f>
        <v>Papelão A4</v>
      </c>
      <c r="B2" s="13">
        <v>1</v>
      </c>
      <c r="C2" s="6">
        <f>Referencias!F65</f>
        <v>1.5</v>
      </c>
      <c r="D2" s="6">
        <f t="shared" ref="D2:D10" si="0">B2*C2</f>
        <v>1.5</v>
      </c>
    </row>
    <row r="3" spans="1:7" ht="15.75" customHeight="1">
      <c r="A3" s="12" t="str">
        <f>Referencias!B53</f>
        <v>Papel fotografico A4</v>
      </c>
      <c r="B3" s="13">
        <v>1</v>
      </c>
      <c r="C3" s="6">
        <f>Referencias!F53</f>
        <v>0.8</v>
      </c>
      <c r="D3" s="6">
        <f t="shared" si="0"/>
        <v>0.8</v>
      </c>
    </row>
    <row r="4" spans="1:7" ht="15.75" customHeight="1">
      <c r="A4" s="12" t="str">
        <f>Referencias!B31</f>
        <v>bopp</v>
      </c>
      <c r="B4" s="13">
        <v>0.3</v>
      </c>
      <c r="C4" s="6">
        <f>Referencias!F31</f>
        <v>0.45</v>
      </c>
      <c r="D4" s="6">
        <f t="shared" si="0"/>
        <v>0.13500000000000001</v>
      </c>
    </row>
    <row r="5" spans="1:7" ht="15.75" customHeight="1">
      <c r="A5" s="12" t="str">
        <f>Referencias!B52</f>
        <v>Papel offset adesivo A4</v>
      </c>
      <c r="B5" s="13">
        <v>1</v>
      </c>
      <c r="C5" s="6">
        <f>Referencias!F52</f>
        <v>0.75</v>
      </c>
      <c r="D5" s="6">
        <f t="shared" si="0"/>
        <v>0.75</v>
      </c>
    </row>
    <row r="6" spans="1:7" ht="15.75" customHeight="1">
      <c r="A6" s="12" t="str">
        <f>Referencias!B38</f>
        <v>Papel 240g A4</v>
      </c>
      <c r="B6" s="13">
        <v>1</v>
      </c>
      <c r="C6" s="6">
        <f>Referencias!F38</f>
        <v>0.42</v>
      </c>
      <c r="D6" s="6">
        <f t="shared" si="0"/>
        <v>0.42</v>
      </c>
    </row>
    <row r="7" spans="1:7" ht="15.75" customHeight="1">
      <c r="A7" s="12" t="str">
        <f>Referencias!B22</f>
        <v>Impressao Capa A4</v>
      </c>
      <c r="B7" s="13">
        <v>4</v>
      </c>
      <c r="C7" s="6">
        <f>Referencias!F22</f>
        <v>0.5</v>
      </c>
      <c r="D7" s="6">
        <f t="shared" si="0"/>
        <v>2</v>
      </c>
    </row>
    <row r="8" spans="1:7" ht="15.75" customHeight="1">
      <c r="A8" s="12" t="str">
        <f>Referencias!B62</f>
        <v>Frete</v>
      </c>
      <c r="B8" s="12"/>
      <c r="C8" s="6">
        <f>Referencias!F62</f>
        <v>0</v>
      </c>
      <c r="D8" s="6">
        <f t="shared" si="0"/>
        <v>0</v>
      </c>
    </row>
    <row r="9" spans="1:7" ht="15.75" customHeight="1">
      <c r="A9" s="12" t="str">
        <f>Referencias!B14</f>
        <v>Desgaste Bloquinho/Outros</v>
      </c>
      <c r="B9" s="13">
        <v>1</v>
      </c>
      <c r="C9" s="6">
        <f>Referencias!F14</f>
        <v>0.5</v>
      </c>
      <c r="D9" s="6">
        <f t="shared" si="0"/>
        <v>0.5</v>
      </c>
    </row>
    <row r="10" spans="1:7" ht="15.75" customHeight="1">
      <c r="A10" s="12" t="str">
        <f>Referencias!B17</f>
        <v>Embalagem Padrão</v>
      </c>
      <c r="B10" s="13">
        <v>1</v>
      </c>
      <c r="C10" s="6">
        <f>Referencias!F17</f>
        <v>1.5</v>
      </c>
      <c r="D10" s="6">
        <f t="shared" si="0"/>
        <v>1.5</v>
      </c>
    </row>
    <row r="11" spans="1:7" ht="15.75" customHeight="1">
      <c r="A11" s="2" t="s">
        <v>312</v>
      </c>
      <c r="B11" s="12"/>
      <c r="C11" s="10"/>
      <c r="D11" s="3">
        <f>SUM(D2:D10)</f>
        <v>7.6049999999999995</v>
      </c>
    </row>
    <row r="12" spans="1:7" ht="15.75" customHeight="1">
      <c r="A12" s="2" t="s">
        <v>313</v>
      </c>
      <c r="B12" s="15">
        <v>0.55000000000000004</v>
      </c>
      <c r="C12" s="6">
        <f>D11*B12</f>
        <v>4.1827500000000004</v>
      </c>
      <c r="D12" s="3">
        <f>D11+C12</f>
        <v>11.787749999999999</v>
      </c>
      <c r="E12" s="92"/>
      <c r="F12" s="93"/>
      <c r="G12" s="93"/>
    </row>
    <row r="13" spans="1:7" ht="15.75" customHeight="1">
      <c r="A13" s="2" t="s">
        <v>314</v>
      </c>
      <c r="B13" s="40"/>
      <c r="C13" s="36"/>
      <c r="D13" s="10"/>
      <c r="E13" s="7"/>
      <c r="F13" s="7"/>
      <c r="G13" s="7"/>
    </row>
    <row r="14" spans="1:7" ht="15.75" customHeight="1">
      <c r="A14" s="2" t="s">
        <v>315</v>
      </c>
      <c r="B14" s="37"/>
      <c r="C14" s="41"/>
      <c r="D14" s="3">
        <v>15</v>
      </c>
      <c r="E14" s="16"/>
      <c r="F14" s="16"/>
      <c r="G14" s="16"/>
    </row>
  </sheetData>
  <mergeCells count="2">
    <mergeCell ref="A1:C1"/>
    <mergeCell ref="E12:G1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</sheetPr>
  <dimension ref="A1:R96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  <col min="14" max="14" width="7.28515625" customWidth="1"/>
    <col min="15" max="16" width="2.85546875" customWidth="1"/>
    <col min="17" max="17" width="4.7109375" customWidth="1"/>
    <col min="18" max="18" width="4.28515625" customWidth="1"/>
  </cols>
  <sheetData>
    <row r="1" spans="1:18" ht="15.75" customHeight="1">
      <c r="A1" s="89" t="s">
        <v>344</v>
      </c>
      <c r="B1" s="90"/>
      <c r="C1" s="91"/>
      <c r="D1" s="46">
        <v>10</v>
      </c>
      <c r="E1" s="18"/>
      <c r="F1" s="18"/>
      <c r="G1" s="18"/>
      <c r="H1" s="18"/>
      <c r="N1" s="7"/>
      <c r="O1" s="31"/>
      <c r="P1" s="31"/>
      <c r="Q1" s="47"/>
      <c r="R1" s="31"/>
    </row>
    <row r="2" spans="1:18" ht="15.75" customHeight="1">
      <c r="A2" s="48" t="str">
        <f>Referencias!B196</f>
        <v>Papel Kraft 10,5x9,5</v>
      </c>
      <c r="B2" s="49">
        <v>2</v>
      </c>
      <c r="C2" s="50">
        <f>Referencias!F196</f>
        <v>0.09</v>
      </c>
      <c r="D2" s="50">
        <f t="shared" ref="D2:D9" si="0">B2*C2</f>
        <v>0.18</v>
      </c>
      <c r="E2" s="18"/>
      <c r="F2" s="18"/>
      <c r="G2" s="18"/>
      <c r="H2" s="18"/>
      <c r="N2" s="7"/>
      <c r="O2" s="31"/>
      <c r="P2" s="31"/>
      <c r="Q2" s="47"/>
      <c r="R2" s="31"/>
    </row>
    <row r="3" spans="1:18" ht="15.75" customHeight="1">
      <c r="A3" s="48" t="str">
        <f>Referencias!B197</f>
        <v>Sulfite 90gr 9x9</v>
      </c>
      <c r="B3" s="49">
        <v>50</v>
      </c>
      <c r="C3" s="50">
        <f>Referencias!F197</f>
        <v>0.03</v>
      </c>
      <c r="D3" s="50">
        <f t="shared" si="0"/>
        <v>1.5</v>
      </c>
      <c r="E3" s="18"/>
      <c r="F3" s="18"/>
      <c r="G3" s="18"/>
      <c r="H3" s="18"/>
      <c r="N3" s="7"/>
      <c r="O3" s="31"/>
      <c r="P3" s="31"/>
      <c r="Q3" s="47"/>
      <c r="R3" s="31"/>
    </row>
    <row r="4" spans="1:18" ht="15.75" customHeight="1">
      <c r="A4" s="48" t="str">
        <f>Referencias!B199</f>
        <v>Espiral 14mm</v>
      </c>
      <c r="B4" s="49">
        <v>0.3</v>
      </c>
      <c r="C4" s="50">
        <f>Referencias!F199</f>
        <v>0.42</v>
      </c>
      <c r="D4" s="50">
        <f t="shared" si="0"/>
        <v>0.126</v>
      </c>
      <c r="E4" s="43"/>
      <c r="F4" s="18"/>
      <c r="G4" s="18"/>
      <c r="H4" s="18"/>
      <c r="N4" s="7"/>
      <c r="O4" s="31"/>
      <c r="P4" s="31"/>
      <c r="Q4" s="47"/>
      <c r="R4" s="31"/>
    </row>
    <row r="5" spans="1:18" ht="15.75" customHeight="1">
      <c r="A5" s="48" t="str">
        <f>Referencias!B198</f>
        <v>Impressao Miolo Frente Verso 9x9</v>
      </c>
      <c r="B5" s="49">
        <v>50</v>
      </c>
      <c r="C5" s="50">
        <f>Referencias!F198</f>
        <v>0.02</v>
      </c>
      <c r="D5" s="50">
        <f t="shared" si="0"/>
        <v>1</v>
      </c>
      <c r="E5" s="18"/>
      <c r="F5" s="18"/>
      <c r="G5" s="18"/>
      <c r="H5" s="18"/>
      <c r="N5" s="7"/>
      <c r="O5" s="31"/>
      <c r="P5" s="31"/>
      <c r="Q5" s="47"/>
      <c r="R5" s="31"/>
    </row>
    <row r="6" spans="1:18" ht="15.75" customHeight="1">
      <c r="A6" s="48" t="str">
        <f>Referencias!B88</f>
        <v>Linha Circulo Maxi Mouline</v>
      </c>
      <c r="B6" s="51">
        <v>2</v>
      </c>
      <c r="C6" s="50">
        <f>Referencias!F88</f>
        <v>0.18</v>
      </c>
      <c r="D6" s="50">
        <f t="shared" si="0"/>
        <v>0.36</v>
      </c>
      <c r="E6" s="52"/>
      <c r="F6" s="18"/>
      <c r="G6" s="18"/>
      <c r="H6" s="18"/>
      <c r="N6" s="7"/>
      <c r="O6" s="31"/>
      <c r="P6" s="31"/>
      <c r="Q6" s="47"/>
      <c r="R6" s="31"/>
    </row>
    <row r="7" spans="1:18" ht="15.75" customHeight="1">
      <c r="A7" s="48" t="str">
        <f>Referencias!B62</f>
        <v>Frete</v>
      </c>
      <c r="B7" s="51"/>
      <c r="C7" s="50">
        <f>Referencias!F62</f>
        <v>0</v>
      </c>
      <c r="D7" s="50">
        <f t="shared" si="0"/>
        <v>0</v>
      </c>
      <c r="E7" s="52"/>
      <c r="F7" s="18"/>
      <c r="G7" s="18"/>
      <c r="H7" s="18"/>
      <c r="N7" s="7"/>
      <c r="O7" s="31"/>
      <c r="P7" s="31"/>
      <c r="Q7" s="47"/>
      <c r="R7" s="31"/>
    </row>
    <row r="8" spans="1:18" ht="15.75" customHeight="1">
      <c r="A8" s="48" t="str">
        <f>Referencias!B14</f>
        <v>Desgaste Bloquinho/Outros</v>
      </c>
      <c r="B8" s="49">
        <v>1</v>
      </c>
      <c r="C8" s="50">
        <f>Referencias!F14</f>
        <v>0.5</v>
      </c>
      <c r="D8" s="50">
        <f t="shared" si="0"/>
        <v>0.5</v>
      </c>
      <c r="E8" s="18"/>
      <c r="F8" s="18"/>
      <c r="G8" s="18"/>
      <c r="H8" s="18"/>
      <c r="N8" s="7"/>
      <c r="O8" s="31"/>
      <c r="P8" s="31"/>
      <c r="Q8" s="47"/>
      <c r="R8" s="31"/>
    </row>
    <row r="9" spans="1:18" ht="15.75" customHeight="1">
      <c r="A9" s="48" t="str">
        <f>Referencias!B17</f>
        <v>Embalagem Padrão</v>
      </c>
      <c r="B9" s="49">
        <v>1</v>
      </c>
      <c r="C9" s="50">
        <f>Referencias!F17</f>
        <v>1.5</v>
      </c>
      <c r="D9" s="50">
        <f t="shared" si="0"/>
        <v>1.5</v>
      </c>
      <c r="E9" s="18"/>
      <c r="F9" s="18"/>
      <c r="G9" s="18"/>
      <c r="H9" s="18"/>
      <c r="N9" s="7"/>
      <c r="O9" s="31"/>
      <c r="P9" s="31"/>
      <c r="Q9" s="47"/>
      <c r="R9" s="31"/>
    </row>
    <row r="10" spans="1:18" ht="15.75" customHeight="1">
      <c r="A10" s="53" t="s">
        <v>312</v>
      </c>
      <c r="B10" s="51"/>
      <c r="C10" s="54"/>
      <c r="D10" s="55">
        <f>SUM(D2:D9)</f>
        <v>5.1660000000000004</v>
      </c>
      <c r="E10" s="18"/>
      <c r="F10" s="18"/>
      <c r="G10" s="18"/>
      <c r="H10" s="18"/>
      <c r="N10" s="7"/>
      <c r="O10" s="31"/>
      <c r="P10" s="31"/>
      <c r="Q10" s="47"/>
      <c r="R10" s="31"/>
    </row>
    <row r="11" spans="1:18" ht="15.75" customHeight="1">
      <c r="A11" s="53" t="s">
        <v>313</v>
      </c>
      <c r="B11" s="56">
        <v>0.55000000000000004</v>
      </c>
      <c r="C11" s="50">
        <f>D10*B11</f>
        <v>2.8413000000000004</v>
      </c>
      <c r="D11" s="55">
        <f>D10+C11</f>
        <v>8.0073000000000008</v>
      </c>
      <c r="E11" s="94"/>
      <c r="F11" s="93"/>
      <c r="G11" s="93"/>
      <c r="H11" s="18"/>
      <c r="N11" s="7"/>
      <c r="O11" s="31"/>
      <c r="P11" s="31"/>
      <c r="Q11" s="47"/>
      <c r="R11" s="31"/>
    </row>
    <row r="12" spans="1:18" ht="15.75" customHeight="1">
      <c r="A12" s="53" t="s">
        <v>314</v>
      </c>
      <c r="B12" s="57" t="s">
        <v>345</v>
      </c>
      <c r="C12" s="51"/>
      <c r="D12" s="54"/>
      <c r="E12" s="31"/>
      <c r="F12" s="31"/>
      <c r="G12" s="31"/>
      <c r="H12" s="18"/>
      <c r="N12" s="7"/>
      <c r="O12" s="31"/>
      <c r="P12" s="31"/>
      <c r="Q12" s="47"/>
      <c r="R12" s="31"/>
    </row>
    <row r="13" spans="1:18" ht="15.75" customHeight="1">
      <c r="A13" s="53" t="s">
        <v>315</v>
      </c>
      <c r="B13" s="49">
        <v>20</v>
      </c>
      <c r="C13" s="51"/>
      <c r="D13" s="58">
        <v>10</v>
      </c>
      <c r="E13" s="34"/>
      <c r="F13" s="34"/>
      <c r="G13" s="34"/>
      <c r="H13" s="18"/>
      <c r="N13" s="7"/>
      <c r="O13" s="31"/>
      <c r="P13" s="31"/>
      <c r="Q13" s="47"/>
      <c r="R13" s="31"/>
    </row>
    <row r="14" spans="1:18" ht="15.75" customHeight="1">
      <c r="A14" s="59"/>
      <c r="B14" s="59"/>
      <c r="C14" s="59"/>
      <c r="D14" s="60"/>
      <c r="E14" s="18"/>
      <c r="F14" s="18"/>
      <c r="G14" s="18"/>
      <c r="H14" s="18"/>
      <c r="N14" s="7"/>
      <c r="O14" s="31"/>
      <c r="P14" s="31"/>
      <c r="Q14" s="47"/>
      <c r="R14" s="31"/>
    </row>
    <row r="15" spans="1:18" ht="15.75" customHeight="1">
      <c r="A15" s="89" t="s">
        <v>346</v>
      </c>
      <c r="B15" s="90"/>
      <c r="C15" s="91"/>
      <c r="D15" s="11">
        <v>20</v>
      </c>
      <c r="N15" s="7"/>
      <c r="O15" s="31"/>
      <c r="P15" s="31"/>
      <c r="Q15" s="47"/>
      <c r="R15" s="31"/>
    </row>
    <row r="16" spans="1:18" ht="15.75" customHeight="1">
      <c r="A16" s="12" t="str">
        <f>Referencias!B55</f>
        <v>Papel Kraft A5</v>
      </c>
      <c r="B16" s="13">
        <v>1</v>
      </c>
      <c r="C16" s="6">
        <f>Referencias!F55</f>
        <v>0.27</v>
      </c>
      <c r="D16" s="6">
        <f t="shared" ref="D16:D22" si="1">B16*C16</f>
        <v>0.27</v>
      </c>
      <c r="N16" s="7"/>
      <c r="O16" s="31"/>
      <c r="P16" s="31"/>
      <c r="Q16" s="47"/>
      <c r="R16" s="31"/>
    </row>
    <row r="17" spans="1:18" ht="15.75" customHeight="1">
      <c r="A17" s="12" t="str">
        <f>Referencias!B42</f>
        <v>Sulfite 75g A5</v>
      </c>
      <c r="B17" s="13">
        <v>25</v>
      </c>
      <c r="C17" s="6">
        <f>Referencias!F42</f>
        <v>0.03</v>
      </c>
      <c r="D17" s="6">
        <f t="shared" si="1"/>
        <v>0.75</v>
      </c>
      <c r="N17" s="7"/>
      <c r="O17" s="31"/>
      <c r="P17" s="31"/>
      <c r="Q17" s="47"/>
      <c r="R17" s="31"/>
    </row>
    <row r="18" spans="1:18" ht="15.75" customHeight="1">
      <c r="A18" s="12" t="str">
        <f>Referencias!B5</f>
        <v>Cordão Encerado Settanyl</v>
      </c>
      <c r="B18" s="13">
        <v>0.6</v>
      </c>
      <c r="C18" s="6">
        <f>Referencias!F5</f>
        <v>0.16</v>
      </c>
      <c r="D18" s="6">
        <f t="shared" si="1"/>
        <v>9.6000000000000002E-2</v>
      </c>
      <c r="E18" s="39"/>
      <c r="N18" s="7"/>
      <c r="O18" s="31"/>
      <c r="P18" s="31"/>
      <c r="Q18" s="47"/>
      <c r="R18" s="31"/>
    </row>
    <row r="19" spans="1:18" ht="15.75" customHeight="1">
      <c r="A19" s="12" t="str">
        <f>Referencias!B88</f>
        <v>Linha Circulo Maxi Mouline</v>
      </c>
      <c r="B19" s="13">
        <v>2</v>
      </c>
      <c r="C19" s="6">
        <f>Referencias!F88</f>
        <v>0.18</v>
      </c>
      <c r="D19" s="6">
        <f t="shared" si="1"/>
        <v>0.36</v>
      </c>
      <c r="N19" s="7"/>
      <c r="O19" s="31"/>
      <c r="P19" s="31"/>
      <c r="Q19" s="47"/>
      <c r="R19" s="31"/>
    </row>
    <row r="20" spans="1:18" ht="15.75" customHeight="1">
      <c r="A20" s="12" t="str">
        <f>Referencias!B62</f>
        <v>Frete</v>
      </c>
      <c r="B20" s="12"/>
      <c r="C20" s="6">
        <f>Referencias!F62</f>
        <v>0</v>
      </c>
      <c r="D20" s="6">
        <f t="shared" si="1"/>
        <v>0</v>
      </c>
      <c r="E20" s="14"/>
      <c r="N20" s="7"/>
      <c r="O20" s="31"/>
      <c r="P20" s="31"/>
      <c r="Q20" s="47"/>
      <c r="R20" s="31"/>
    </row>
    <row r="21" spans="1:18" ht="15.75" customHeight="1">
      <c r="A21" s="12" t="str">
        <f>Referencias!B15</f>
        <v>Desgaste Caderno A5</v>
      </c>
      <c r="B21" s="13">
        <v>1</v>
      </c>
      <c r="C21" s="6">
        <f>Referencias!F15</f>
        <v>2</v>
      </c>
      <c r="D21" s="6">
        <f t="shared" si="1"/>
        <v>2</v>
      </c>
      <c r="N21" s="7"/>
      <c r="O21" s="31"/>
      <c r="P21" s="31"/>
      <c r="Q21" s="47"/>
      <c r="R21" s="31"/>
    </row>
    <row r="22" spans="1:18" ht="15.75" customHeight="1">
      <c r="A22" s="12" t="str">
        <f>Referencias!B17</f>
        <v>Embalagem Padrão</v>
      </c>
      <c r="B22" s="13">
        <v>1</v>
      </c>
      <c r="C22" s="6">
        <f>Referencias!F17</f>
        <v>1.5</v>
      </c>
      <c r="D22" s="6">
        <f t="shared" si="1"/>
        <v>1.5</v>
      </c>
      <c r="N22" s="7"/>
      <c r="O22" s="31"/>
      <c r="P22" s="31"/>
      <c r="Q22" s="47"/>
      <c r="R22" s="31"/>
    </row>
    <row r="23" spans="1:18" ht="15.75" customHeight="1">
      <c r="A23" s="2" t="s">
        <v>312</v>
      </c>
      <c r="B23" s="12"/>
      <c r="C23" s="6"/>
      <c r="D23" s="3">
        <f>SUM(D16:D22)</f>
        <v>4.976</v>
      </c>
      <c r="N23" s="7"/>
      <c r="O23" s="31"/>
      <c r="P23" s="31"/>
      <c r="Q23" s="47"/>
      <c r="R23" s="31"/>
    </row>
    <row r="24" spans="1:18" ht="15.75" customHeight="1">
      <c r="A24" s="2" t="s">
        <v>313</v>
      </c>
      <c r="B24" s="15">
        <v>0.55000000000000004</v>
      </c>
      <c r="C24" s="6">
        <f>D23*B24</f>
        <v>2.7368000000000001</v>
      </c>
      <c r="D24" s="3">
        <f>D23+C24</f>
        <v>7.7127999999999997</v>
      </c>
      <c r="E24" s="92"/>
      <c r="F24" s="93"/>
      <c r="G24" s="93"/>
      <c r="N24" s="7"/>
      <c r="O24" s="31"/>
      <c r="P24" s="31"/>
      <c r="Q24" s="47"/>
      <c r="R24" s="31"/>
    </row>
    <row r="25" spans="1:18" ht="15.75" customHeight="1">
      <c r="A25" s="2" t="s">
        <v>314</v>
      </c>
      <c r="B25" s="12" t="s">
        <v>345</v>
      </c>
      <c r="C25" s="10"/>
      <c r="D25" s="10"/>
      <c r="E25" s="7"/>
      <c r="F25" s="7"/>
      <c r="G25" s="7"/>
      <c r="N25" s="7"/>
      <c r="O25" s="31"/>
      <c r="P25" s="31"/>
      <c r="Q25" s="47"/>
      <c r="R25" s="31"/>
    </row>
    <row r="26" spans="1:18" ht="15.75" customHeight="1">
      <c r="A26" s="2" t="s">
        <v>315</v>
      </c>
      <c r="B26" s="12">
        <v>20</v>
      </c>
      <c r="C26" s="10"/>
      <c r="D26" s="11">
        <v>20</v>
      </c>
      <c r="E26" s="16"/>
      <c r="F26" s="16"/>
      <c r="G26" s="16"/>
      <c r="N26" s="7"/>
      <c r="O26" s="31"/>
      <c r="P26" s="31"/>
      <c r="Q26" s="47"/>
      <c r="R26" s="31"/>
    </row>
    <row r="27" spans="1:18" ht="15.75" customHeight="1">
      <c r="N27" s="7"/>
      <c r="O27" s="31"/>
      <c r="P27" s="31"/>
      <c r="Q27" s="47"/>
      <c r="R27" s="31"/>
    </row>
    <row r="28" spans="1:18" ht="15.75" customHeight="1">
      <c r="A28" s="89" t="s">
        <v>347</v>
      </c>
      <c r="B28" s="90"/>
      <c r="C28" s="91"/>
      <c r="D28" s="11">
        <v>25</v>
      </c>
      <c r="N28" s="7"/>
      <c r="O28" s="31"/>
      <c r="P28" s="31"/>
      <c r="Q28" s="47"/>
      <c r="R28" s="31"/>
    </row>
    <row r="29" spans="1:18" ht="15.75" customHeight="1">
      <c r="A29" s="12" t="str">
        <f>Referencias!B54</f>
        <v>Papel Kraft A4</v>
      </c>
      <c r="B29" s="13">
        <v>1</v>
      </c>
      <c r="C29" s="6">
        <f>Referencias!F54</f>
        <v>0.54</v>
      </c>
      <c r="D29" s="6">
        <f t="shared" ref="D29:D35" si="2">B29*C29</f>
        <v>0.54</v>
      </c>
      <c r="N29" s="7"/>
      <c r="O29" s="31"/>
      <c r="P29" s="31"/>
      <c r="Q29" s="47"/>
      <c r="R29" s="31"/>
    </row>
    <row r="30" spans="1:18" ht="15.75" customHeight="1">
      <c r="A30" s="12" t="str">
        <f>Referencias!B41</f>
        <v>Sulfite 75g A4</v>
      </c>
      <c r="B30" s="13">
        <v>30</v>
      </c>
      <c r="C30" s="6">
        <f>Referencias!F41</f>
        <v>0.06</v>
      </c>
      <c r="D30" s="6">
        <f t="shared" si="2"/>
        <v>1.7999999999999998</v>
      </c>
      <c r="N30" s="7"/>
      <c r="O30" s="31"/>
      <c r="P30" s="31"/>
      <c r="Q30" s="47"/>
      <c r="R30" s="31"/>
    </row>
    <row r="31" spans="1:18" ht="15.75" customHeight="1">
      <c r="A31" s="12" t="str">
        <f>Referencias!B5</f>
        <v>Cordão Encerado Settanyl</v>
      </c>
      <c r="B31" s="13">
        <v>1.2</v>
      </c>
      <c r="C31" s="6">
        <f>Referencias!F5</f>
        <v>0.16</v>
      </c>
      <c r="D31" s="6">
        <f t="shared" si="2"/>
        <v>0.192</v>
      </c>
      <c r="N31" s="7"/>
      <c r="O31" s="31"/>
      <c r="P31" s="31"/>
      <c r="Q31" s="47"/>
      <c r="R31" s="31"/>
    </row>
    <row r="32" spans="1:18" ht="15.75" customHeight="1">
      <c r="A32" s="12" t="str">
        <f>Referencias!B88</f>
        <v>Linha Circulo Maxi Mouline</v>
      </c>
      <c r="B32" s="13">
        <v>4</v>
      </c>
      <c r="C32" s="6">
        <f>Referencias!F88</f>
        <v>0.18</v>
      </c>
      <c r="D32" s="6">
        <f t="shared" si="2"/>
        <v>0.72</v>
      </c>
      <c r="N32" s="7"/>
      <c r="O32" s="31"/>
      <c r="P32" s="31"/>
      <c r="Q32" s="47"/>
      <c r="R32" s="31"/>
    </row>
    <row r="33" spans="1:18" ht="15.75" customHeight="1">
      <c r="A33" s="12" t="str">
        <f>Referencias!B62</f>
        <v>Frete</v>
      </c>
      <c r="B33" s="12"/>
      <c r="C33" s="6">
        <f>Referencias!F62</f>
        <v>0</v>
      </c>
      <c r="D33" s="6">
        <f t="shared" si="2"/>
        <v>0</v>
      </c>
      <c r="N33" s="7"/>
      <c r="O33" s="31"/>
      <c r="P33" s="31"/>
      <c r="Q33" s="47"/>
      <c r="R33" s="31"/>
    </row>
    <row r="34" spans="1:18" ht="15.75" customHeight="1">
      <c r="A34" s="12" t="str">
        <f>Referencias!B15</f>
        <v>Desgaste Caderno A5</v>
      </c>
      <c r="B34" s="13">
        <v>1</v>
      </c>
      <c r="C34" s="6">
        <f>Referencias!F15</f>
        <v>2</v>
      </c>
      <c r="D34" s="6">
        <f t="shared" si="2"/>
        <v>2</v>
      </c>
      <c r="N34" s="7"/>
      <c r="O34" s="31"/>
      <c r="P34" s="31"/>
      <c r="Q34" s="47"/>
      <c r="R34" s="31"/>
    </row>
    <row r="35" spans="1:18" ht="15.75" customHeight="1">
      <c r="A35" s="12" t="str">
        <f>Referencias!B17</f>
        <v>Embalagem Padrão</v>
      </c>
      <c r="B35" s="13">
        <v>1</v>
      </c>
      <c r="C35" s="6">
        <f>Referencias!F17</f>
        <v>1.5</v>
      </c>
      <c r="D35" s="6">
        <f t="shared" si="2"/>
        <v>1.5</v>
      </c>
      <c r="N35" s="7"/>
      <c r="O35" s="31"/>
      <c r="P35" s="31"/>
      <c r="Q35" s="47"/>
      <c r="R35" s="31"/>
    </row>
    <row r="36" spans="1:18" ht="15.75" customHeight="1">
      <c r="A36" s="2" t="s">
        <v>312</v>
      </c>
      <c r="B36" s="12"/>
      <c r="C36" s="6"/>
      <c r="D36" s="3">
        <f>SUM(D29:D35)</f>
        <v>6.7519999999999998</v>
      </c>
      <c r="N36" s="7"/>
      <c r="O36" s="31"/>
      <c r="P36" s="31"/>
      <c r="Q36" s="47"/>
      <c r="R36" s="31"/>
    </row>
    <row r="37" spans="1:18" ht="15">
      <c r="A37" s="2" t="s">
        <v>313</v>
      </c>
      <c r="B37" s="15">
        <v>0.55000000000000004</v>
      </c>
      <c r="C37" s="6">
        <f>D36*B37</f>
        <v>3.7136</v>
      </c>
      <c r="D37" s="3">
        <f>D36+C37</f>
        <v>10.4656</v>
      </c>
      <c r="E37" s="92"/>
      <c r="F37" s="93"/>
      <c r="G37" s="93"/>
      <c r="N37" s="7"/>
      <c r="O37" s="31"/>
      <c r="P37" s="31"/>
      <c r="Q37" s="47"/>
      <c r="R37" s="31"/>
    </row>
    <row r="38" spans="1:18" ht="15">
      <c r="A38" s="2" t="s">
        <v>314</v>
      </c>
      <c r="B38" s="12" t="s">
        <v>345</v>
      </c>
      <c r="C38" s="10"/>
      <c r="D38" s="10"/>
      <c r="E38" s="7"/>
      <c r="F38" s="7"/>
      <c r="G38" s="7"/>
      <c r="N38" s="7"/>
      <c r="O38" s="31"/>
      <c r="P38" s="31"/>
      <c r="Q38" s="47"/>
      <c r="R38" s="31"/>
    </row>
    <row r="39" spans="1:18" ht="15">
      <c r="A39" s="2" t="s">
        <v>315</v>
      </c>
      <c r="B39" s="12">
        <v>35</v>
      </c>
      <c r="C39" s="10"/>
      <c r="D39" s="11">
        <v>25</v>
      </c>
      <c r="E39" s="16"/>
      <c r="F39" s="16"/>
      <c r="G39" s="16"/>
      <c r="N39" s="7"/>
      <c r="O39" s="31"/>
      <c r="P39" s="31"/>
      <c r="Q39" s="47"/>
      <c r="R39" s="31"/>
    </row>
    <row r="40" spans="1:18" ht="15">
      <c r="N40" s="7"/>
      <c r="O40" s="31"/>
      <c r="P40" s="31"/>
      <c r="Q40" s="47"/>
      <c r="R40" s="31"/>
    </row>
    <row r="41" spans="1:18" ht="15">
      <c r="A41" s="89" t="s">
        <v>348</v>
      </c>
      <c r="B41" s="90"/>
      <c r="C41" s="91"/>
      <c r="D41" s="46">
        <v>30</v>
      </c>
      <c r="E41" s="18"/>
      <c r="F41" s="18"/>
      <c r="G41" s="18"/>
      <c r="N41" s="7"/>
      <c r="O41" s="31"/>
      <c r="P41" s="31"/>
      <c r="Q41" s="47"/>
      <c r="R41" s="31"/>
    </row>
    <row r="42" spans="1:18" ht="15">
      <c r="A42" s="48" t="str">
        <f>Referencias!B54</f>
        <v>Papel Kraft A4</v>
      </c>
      <c r="B42" s="49">
        <v>1</v>
      </c>
      <c r="C42" s="50">
        <f>Referencias!F54</f>
        <v>0.54</v>
      </c>
      <c r="D42" s="50">
        <f t="shared" ref="D42:D49" si="3">B42*C42</f>
        <v>0.54</v>
      </c>
      <c r="E42" s="18"/>
      <c r="F42" s="18"/>
      <c r="G42" s="18"/>
      <c r="N42" s="7"/>
      <c r="O42" s="31"/>
      <c r="P42" s="31"/>
      <c r="Q42" s="47"/>
      <c r="R42" s="31"/>
    </row>
    <row r="43" spans="1:18" ht="15">
      <c r="A43" s="48" t="str">
        <f>Referencias!B41</f>
        <v>Sulfite 75g A4</v>
      </c>
      <c r="B43" s="49">
        <v>27</v>
      </c>
      <c r="C43" s="50">
        <f>Referencias!F41</f>
        <v>0.06</v>
      </c>
      <c r="D43" s="50">
        <f t="shared" si="3"/>
        <v>1.6199999999999999</v>
      </c>
      <c r="E43" s="18"/>
      <c r="F43" s="18"/>
      <c r="G43" s="18"/>
      <c r="N43" s="7"/>
      <c r="O43" s="31"/>
      <c r="P43" s="31"/>
      <c r="Q43" s="47"/>
      <c r="R43" s="31"/>
    </row>
    <row r="44" spans="1:18" ht="15">
      <c r="A44" s="48" t="str">
        <f>Referencias!B5</f>
        <v>Cordão Encerado Settanyl</v>
      </c>
      <c r="B44" s="49">
        <v>1.2</v>
      </c>
      <c r="C44" s="50">
        <f>Referencias!F5</f>
        <v>0.16</v>
      </c>
      <c r="D44" s="50">
        <f t="shared" si="3"/>
        <v>0.192</v>
      </c>
      <c r="E44" s="18"/>
      <c r="F44" s="18"/>
      <c r="G44" s="18"/>
      <c r="N44" s="7"/>
      <c r="O44" s="31"/>
      <c r="P44" s="31"/>
      <c r="Q44" s="47"/>
      <c r="R44" s="31"/>
    </row>
    <row r="45" spans="1:18" ht="15">
      <c r="A45" s="48" t="str">
        <f>Referencias!B88</f>
        <v>Linha Circulo Maxi Mouline</v>
      </c>
      <c r="B45" s="49">
        <v>4</v>
      </c>
      <c r="C45" s="50">
        <f>Referencias!F88</f>
        <v>0.18</v>
      </c>
      <c r="D45" s="50">
        <f t="shared" si="3"/>
        <v>0.72</v>
      </c>
      <c r="E45" s="18"/>
      <c r="F45" s="18"/>
      <c r="G45" s="18"/>
      <c r="N45" s="7"/>
      <c r="O45" s="31"/>
      <c r="P45" s="31"/>
      <c r="Q45" s="47"/>
      <c r="R45" s="31"/>
    </row>
    <row r="46" spans="1:18" ht="15">
      <c r="A46" s="48" t="str">
        <f>Referencias!B28</f>
        <v>Impressao Miolo Frente Verso A4</v>
      </c>
      <c r="B46" s="51">
        <v>27</v>
      </c>
      <c r="C46" s="50">
        <f>Referencias!F28</f>
        <v>0.12</v>
      </c>
      <c r="D46" s="50">
        <f t="shared" si="3"/>
        <v>3.2399999999999998</v>
      </c>
      <c r="E46" s="18"/>
      <c r="F46" s="18"/>
      <c r="G46" s="18"/>
      <c r="N46" s="7"/>
      <c r="O46" s="31"/>
      <c r="P46" s="31"/>
      <c r="Q46" s="47"/>
      <c r="R46" s="31"/>
    </row>
    <row r="47" spans="1:18" ht="15">
      <c r="A47" s="48" t="str">
        <f>Referencias!B62</f>
        <v>Frete</v>
      </c>
      <c r="B47" s="51"/>
      <c r="C47" s="50">
        <f>Referencias!F62</f>
        <v>0</v>
      </c>
      <c r="D47" s="50">
        <f t="shared" si="3"/>
        <v>0</v>
      </c>
      <c r="E47" s="18"/>
      <c r="F47" s="18"/>
      <c r="G47" s="18"/>
      <c r="N47" s="7"/>
      <c r="O47" s="31"/>
      <c r="P47" s="31"/>
      <c r="Q47" s="47"/>
      <c r="R47" s="31"/>
    </row>
    <row r="48" spans="1:18" ht="15">
      <c r="A48" s="48" t="str">
        <f>Referencias!B14</f>
        <v>Desgaste Bloquinho/Outros</v>
      </c>
      <c r="B48" s="49">
        <v>1</v>
      </c>
      <c r="C48" s="50">
        <f>Referencias!F14</f>
        <v>0.5</v>
      </c>
      <c r="D48" s="50">
        <f t="shared" si="3"/>
        <v>0.5</v>
      </c>
      <c r="E48" s="18"/>
      <c r="F48" s="18"/>
      <c r="G48" s="18"/>
      <c r="N48" s="7"/>
      <c r="O48" s="31"/>
      <c r="P48" s="31"/>
      <c r="Q48" s="47"/>
      <c r="R48" s="31"/>
    </row>
    <row r="49" spans="1:18" ht="15">
      <c r="A49" s="48" t="str">
        <f>Referencias!B17</f>
        <v>Embalagem Padrão</v>
      </c>
      <c r="B49" s="49">
        <v>1</v>
      </c>
      <c r="C49" s="50">
        <f>Referencias!F17</f>
        <v>1.5</v>
      </c>
      <c r="D49" s="50">
        <f t="shared" si="3"/>
        <v>1.5</v>
      </c>
      <c r="E49" s="18"/>
      <c r="F49" s="18"/>
      <c r="G49" s="18"/>
      <c r="N49" s="7"/>
      <c r="O49" s="31"/>
      <c r="P49" s="31"/>
      <c r="Q49" s="47"/>
      <c r="R49" s="31"/>
    </row>
    <row r="50" spans="1:18" ht="15">
      <c r="A50" s="53" t="s">
        <v>312</v>
      </c>
      <c r="B50" s="51"/>
      <c r="C50" s="54"/>
      <c r="D50" s="55">
        <f>SUM(D42:D49)</f>
        <v>8.3119999999999994</v>
      </c>
      <c r="E50" s="18"/>
      <c r="F50" s="18"/>
      <c r="G50" s="18"/>
      <c r="N50" s="7"/>
      <c r="O50" s="31"/>
      <c r="P50" s="31"/>
      <c r="Q50" s="47"/>
      <c r="R50" s="31"/>
    </row>
    <row r="51" spans="1:18" ht="15">
      <c r="A51" s="53" t="s">
        <v>313</v>
      </c>
      <c r="B51" s="56">
        <v>0.55000000000000004</v>
      </c>
      <c r="C51" s="50">
        <f>D50*B51</f>
        <v>4.5716000000000001</v>
      </c>
      <c r="D51" s="55">
        <f>D50+C51</f>
        <v>12.883599999999999</v>
      </c>
      <c r="E51" s="94"/>
      <c r="F51" s="93"/>
      <c r="G51" s="93"/>
      <c r="N51" s="7"/>
      <c r="O51" s="31"/>
      <c r="P51" s="31"/>
      <c r="Q51" s="47"/>
      <c r="R51" s="31"/>
    </row>
    <row r="52" spans="1:18" ht="15">
      <c r="A52" s="53" t="s">
        <v>314</v>
      </c>
      <c r="B52" s="51"/>
      <c r="C52" s="51"/>
      <c r="D52" s="51"/>
      <c r="E52" s="31"/>
      <c r="F52" s="31"/>
      <c r="G52" s="31"/>
      <c r="N52" s="7"/>
      <c r="O52" s="31"/>
      <c r="P52" s="31"/>
      <c r="Q52" s="47"/>
      <c r="R52" s="31"/>
    </row>
    <row r="53" spans="1:18" ht="15">
      <c r="A53" s="53" t="s">
        <v>315</v>
      </c>
      <c r="B53" s="51"/>
      <c r="C53" s="51"/>
      <c r="D53" s="58">
        <v>30</v>
      </c>
      <c r="E53" s="34"/>
      <c r="F53" s="34"/>
      <c r="G53" s="34"/>
      <c r="N53" s="7"/>
      <c r="O53" s="31"/>
      <c r="P53" s="31"/>
      <c r="Q53" s="47"/>
      <c r="R53" s="31"/>
    </row>
    <row r="54" spans="1:18" ht="15">
      <c r="A54" s="25"/>
      <c r="B54" s="25"/>
      <c r="C54" s="25"/>
      <c r="D54" s="61"/>
      <c r="N54" s="7"/>
      <c r="O54" s="31"/>
      <c r="P54" s="31"/>
      <c r="Q54" s="47"/>
      <c r="R54" s="31"/>
    </row>
    <row r="55" spans="1:18" ht="15">
      <c r="A55" s="89" t="s">
        <v>349</v>
      </c>
      <c r="B55" s="90"/>
      <c r="C55" s="91"/>
      <c r="D55" s="11">
        <v>15</v>
      </c>
      <c r="N55" s="7"/>
      <c r="O55" s="31"/>
      <c r="P55" s="31"/>
      <c r="Q55" s="47"/>
      <c r="R55" s="31"/>
    </row>
    <row r="56" spans="1:18" ht="15">
      <c r="A56" s="12" t="str">
        <f>Referencias!B55</f>
        <v>Papel Kraft A5</v>
      </c>
      <c r="B56" s="13">
        <v>1</v>
      </c>
      <c r="C56" s="6">
        <f>Referencias!F55</f>
        <v>0.27</v>
      </c>
      <c r="D56" s="6">
        <f t="shared" ref="D56:D62" si="4">B56*C56</f>
        <v>0.27</v>
      </c>
      <c r="N56" s="7"/>
      <c r="O56" s="31"/>
      <c r="P56" s="31"/>
      <c r="Q56" s="47"/>
      <c r="R56" s="31"/>
    </row>
    <row r="57" spans="1:18" ht="15">
      <c r="A57" s="12" t="str">
        <f>Referencias!B142</f>
        <v>Papel Offset Sulfite 120g A6</v>
      </c>
      <c r="B57" s="13">
        <v>1</v>
      </c>
      <c r="C57" s="6">
        <f>Referencias!F142</f>
        <v>0.03</v>
      </c>
      <c r="D57" s="6">
        <f t="shared" si="4"/>
        <v>0.03</v>
      </c>
      <c r="N57" s="7"/>
      <c r="O57" s="31"/>
      <c r="P57" s="31"/>
      <c r="Q57" s="47"/>
      <c r="R57" s="31"/>
    </row>
    <row r="58" spans="1:18" ht="15">
      <c r="A58" s="12" t="str">
        <f>Referencias!B139</f>
        <v>Envelope 80g visita 115x80 linho branco 5452 Romitec</v>
      </c>
      <c r="B58" s="13">
        <v>1</v>
      </c>
      <c r="C58" s="6">
        <f>Referencias!F139</f>
        <v>0.27</v>
      </c>
      <c r="D58" s="6">
        <f t="shared" si="4"/>
        <v>0.27</v>
      </c>
      <c r="N58" s="7"/>
      <c r="O58" s="31"/>
      <c r="P58" s="31"/>
      <c r="Q58" s="47"/>
      <c r="R58" s="31"/>
    </row>
    <row r="59" spans="1:18" ht="15">
      <c r="A59" s="12" t="str">
        <f>Referencias!B88</f>
        <v>Linha Circulo Maxi Mouline</v>
      </c>
      <c r="B59" s="13">
        <v>2</v>
      </c>
      <c r="C59" s="6">
        <f>Referencias!F88</f>
        <v>0.18</v>
      </c>
      <c r="D59" s="6">
        <f t="shared" si="4"/>
        <v>0.36</v>
      </c>
      <c r="N59" s="7"/>
      <c r="O59" s="31"/>
      <c r="P59" s="31"/>
      <c r="Q59" s="47"/>
      <c r="R59" s="31"/>
    </row>
    <row r="60" spans="1:18" ht="15">
      <c r="A60" s="12" t="str">
        <f>Referencias!B62</f>
        <v>Frete</v>
      </c>
      <c r="B60" s="12"/>
      <c r="C60" s="6">
        <f>Referencias!F62</f>
        <v>0</v>
      </c>
      <c r="D60" s="6">
        <f t="shared" si="4"/>
        <v>0</v>
      </c>
      <c r="N60" s="7"/>
      <c r="O60" s="31"/>
      <c r="P60" s="31"/>
      <c r="Q60" s="47"/>
      <c r="R60" s="31"/>
    </row>
    <row r="61" spans="1:18" ht="15">
      <c r="A61" s="12" t="str">
        <f>Referencias!B14</f>
        <v>Desgaste Bloquinho/Outros</v>
      </c>
      <c r="B61" s="13">
        <v>1</v>
      </c>
      <c r="C61" s="6">
        <f>Referencias!F14</f>
        <v>0.5</v>
      </c>
      <c r="D61" s="6">
        <f t="shared" si="4"/>
        <v>0.5</v>
      </c>
      <c r="N61" s="7"/>
      <c r="O61" s="31"/>
      <c r="P61" s="31"/>
      <c r="Q61" s="47"/>
      <c r="R61" s="31"/>
    </row>
    <row r="62" spans="1:18" ht="15">
      <c r="A62" s="12" t="str">
        <f>Referencias!B17</f>
        <v>Embalagem Padrão</v>
      </c>
      <c r="B62" s="13">
        <v>1</v>
      </c>
      <c r="C62" s="6">
        <f>Referencias!F17</f>
        <v>1.5</v>
      </c>
      <c r="D62" s="6">
        <f t="shared" si="4"/>
        <v>1.5</v>
      </c>
      <c r="N62" s="7"/>
      <c r="O62" s="31"/>
      <c r="P62" s="31"/>
      <c r="Q62" s="47"/>
      <c r="R62" s="31"/>
    </row>
    <row r="63" spans="1:18" ht="15">
      <c r="A63" s="2" t="s">
        <v>312</v>
      </c>
      <c r="B63" s="12"/>
      <c r="C63" s="6"/>
      <c r="D63" s="3">
        <f>SUM(D56:D62)</f>
        <v>2.93</v>
      </c>
      <c r="N63" s="7"/>
      <c r="O63" s="31"/>
      <c r="P63" s="31"/>
      <c r="Q63" s="47"/>
      <c r="R63" s="31"/>
    </row>
    <row r="64" spans="1:18" ht="15">
      <c r="A64" s="2" t="s">
        <v>313</v>
      </c>
      <c r="B64" s="15">
        <v>0.55000000000000004</v>
      </c>
      <c r="C64" s="6">
        <f>D63*B64</f>
        <v>1.6115000000000002</v>
      </c>
      <c r="D64" s="3">
        <f>D63+C64</f>
        <v>4.5415000000000001</v>
      </c>
      <c r="E64" s="92"/>
      <c r="F64" s="93"/>
      <c r="G64" s="93"/>
      <c r="N64" s="7"/>
      <c r="O64" s="31"/>
      <c r="P64" s="31"/>
      <c r="Q64" s="47"/>
      <c r="R64" s="31"/>
    </row>
    <row r="65" spans="1:18" ht="15">
      <c r="A65" s="2" t="s">
        <v>314</v>
      </c>
      <c r="B65" s="12"/>
      <c r="C65" s="10"/>
      <c r="D65" s="10"/>
      <c r="E65" s="7"/>
      <c r="F65" s="7"/>
      <c r="G65" s="7"/>
      <c r="N65" s="7"/>
      <c r="O65" s="31"/>
      <c r="P65" s="31"/>
      <c r="Q65" s="47"/>
      <c r="R65" s="31"/>
    </row>
    <row r="66" spans="1:18" ht="15">
      <c r="A66" s="2" t="s">
        <v>315</v>
      </c>
      <c r="B66" s="12"/>
      <c r="C66" s="10"/>
      <c r="D66" s="11">
        <v>15</v>
      </c>
      <c r="E66" s="16"/>
      <c r="F66" s="16"/>
      <c r="G66" s="16"/>
      <c r="N66" s="7"/>
      <c r="O66" s="31"/>
      <c r="P66" s="31"/>
      <c r="Q66" s="47"/>
      <c r="R66" s="31"/>
    </row>
    <row r="67" spans="1:18" ht="15">
      <c r="A67" s="25"/>
      <c r="B67" s="25"/>
      <c r="C67" s="25"/>
      <c r="D67" s="61"/>
      <c r="N67" s="7"/>
      <c r="O67" s="31"/>
      <c r="P67" s="31"/>
      <c r="Q67" s="47"/>
      <c r="R67" s="31"/>
    </row>
    <row r="68" spans="1:18" ht="15">
      <c r="A68" s="89" t="s">
        <v>350</v>
      </c>
      <c r="B68" s="90"/>
      <c r="C68" s="91"/>
      <c r="D68" s="11">
        <v>10</v>
      </c>
      <c r="N68" s="7"/>
      <c r="O68" s="31"/>
      <c r="P68" s="31"/>
      <c r="Q68" s="47"/>
      <c r="R68" s="31"/>
    </row>
    <row r="69" spans="1:18" ht="15">
      <c r="A69" s="12" t="str">
        <f>Referencias!B146</f>
        <v>Papel Kraft 20x5</v>
      </c>
      <c r="B69" s="13">
        <v>1</v>
      </c>
      <c r="C69" s="6">
        <f>Referencias!F146</f>
        <v>0.09</v>
      </c>
      <c r="D69" s="6">
        <f t="shared" ref="D69:D75" si="5">B69*C69</f>
        <v>0.09</v>
      </c>
      <c r="N69" s="7"/>
      <c r="O69" s="31"/>
      <c r="P69" s="31"/>
      <c r="Q69" s="47"/>
      <c r="R69" s="31"/>
    </row>
    <row r="70" spans="1:18" ht="15">
      <c r="A70" s="12" t="str">
        <f>Referencias!B88</f>
        <v>Linha Circulo Maxi Mouline</v>
      </c>
      <c r="B70" s="13">
        <v>2</v>
      </c>
      <c r="C70" s="6">
        <f>Referencias!F88</f>
        <v>0.18</v>
      </c>
      <c r="D70" s="6">
        <f t="shared" si="5"/>
        <v>0.36</v>
      </c>
      <c r="N70" s="7"/>
      <c r="O70" s="31"/>
      <c r="P70" s="31"/>
      <c r="Q70" s="47"/>
      <c r="R70" s="31"/>
    </row>
    <row r="71" spans="1:18" ht="15">
      <c r="A71" s="12" t="str">
        <f>Referencias!B154</f>
        <v>Color Plus 20x5</v>
      </c>
      <c r="B71" s="13">
        <v>1</v>
      </c>
      <c r="C71" s="6">
        <f>Referencias!F154</f>
        <v>0.1</v>
      </c>
      <c r="D71" s="6">
        <f t="shared" si="5"/>
        <v>0.1</v>
      </c>
      <c r="N71" s="7"/>
      <c r="O71" s="31"/>
      <c r="P71" s="31"/>
      <c r="Q71" s="47"/>
      <c r="R71" s="31"/>
    </row>
    <row r="72" spans="1:18" ht="15">
      <c r="A72" s="12" t="str">
        <f>Referencias!B155</f>
        <v>Tassel</v>
      </c>
      <c r="B72" s="13">
        <v>1</v>
      </c>
      <c r="C72" s="6">
        <f>Referencias!F155</f>
        <v>0.38</v>
      </c>
      <c r="D72" s="6">
        <f t="shared" si="5"/>
        <v>0.38</v>
      </c>
      <c r="N72" s="7"/>
      <c r="O72" s="31"/>
      <c r="P72" s="31"/>
      <c r="Q72" s="47"/>
      <c r="R72" s="31"/>
    </row>
    <row r="73" spans="1:18" ht="15">
      <c r="A73" s="12" t="str">
        <f>Referencias!B62</f>
        <v>Frete</v>
      </c>
      <c r="B73" s="12"/>
      <c r="C73" s="6">
        <f>Referencias!F62</f>
        <v>0</v>
      </c>
      <c r="D73" s="6">
        <f t="shared" si="5"/>
        <v>0</v>
      </c>
      <c r="N73" s="7"/>
      <c r="O73" s="31"/>
      <c r="P73" s="31"/>
      <c r="Q73" s="47"/>
      <c r="R73" s="31"/>
    </row>
    <row r="74" spans="1:18" ht="15">
      <c r="A74" s="12" t="str">
        <f>Referencias!B14</f>
        <v>Desgaste Bloquinho/Outros</v>
      </c>
      <c r="B74" s="13">
        <v>1</v>
      </c>
      <c r="C74" s="6">
        <f>Referencias!F14</f>
        <v>0.5</v>
      </c>
      <c r="D74" s="6">
        <f t="shared" si="5"/>
        <v>0.5</v>
      </c>
      <c r="N74" s="7"/>
      <c r="O74" s="31"/>
      <c r="P74" s="31"/>
      <c r="Q74" s="47"/>
      <c r="R74" s="31"/>
    </row>
    <row r="75" spans="1:18" ht="15">
      <c r="A75" s="12" t="str">
        <f>Referencias!B17</f>
        <v>Embalagem Padrão</v>
      </c>
      <c r="B75" s="13">
        <v>1</v>
      </c>
      <c r="C75" s="6">
        <f>Referencias!F17</f>
        <v>1.5</v>
      </c>
      <c r="D75" s="6">
        <f t="shared" si="5"/>
        <v>1.5</v>
      </c>
      <c r="N75" s="7"/>
      <c r="O75" s="31"/>
      <c r="P75" s="31"/>
      <c r="Q75" s="47"/>
      <c r="R75" s="31"/>
    </row>
    <row r="76" spans="1:18" ht="15">
      <c r="A76" s="2" t="s">
        <v>312</v>
      </c>
      <c r="B76" s="12"/>
      <c r="C76" s="6"/>
      <c r="D76" s="3">
        <f>SUM(D69:D75)</f>
        <v>2.9299999999999997</v>
      </c>
      <c r="N76" s="7"/>
      <c r="O76" s="31"/>
      <c r="P76" s="31"/>
      <c r="Q76" s="47"/>
      <c r="R76" s="31"/>
    </row>
    <row r="77" spans="1:18" ht="15">
      <c r="A77" s="2" t="s">
        <v>313</v>
      </c>
      <c r="B77" s="15">
        <v>0.55000000000000004</v>
      </c>
      <c r="C77" s="6">
        <f>D76*B77</f>
        <v>1.6114999999999999</v>
      </c>
      <c r="D77" s="3">
        <f>D76+C77</f>
        <v>4.5414999999999992</v>
      </c>
      <c r="E77" s="92"/>
      <c r="F77" s="93"/>
      <c r="G77" s="93"/>
      <c r="N77" s="7"/>
      <c r="O77" s="31"/>
      <c r="P77" s="31"/>
      <c r="Q77" s="47"/>
      <c r="R77" s="31"/>
    </row>
    <row r="78" spans="1:18" ht="15">
      <c r="A78" s="2" t="s">
        <v>314</v>
      </c>
      <c r="B78" s="12"/>
      <c r="C78" s="10"/>
      <c r="D78" s="10"/>
      <c r="E78" s="7"/>
      <c r="F78" s="7"/>
      <c r="G78" s="7"/>
      <c r="N78" s="7"/>
      <c r="O78" s="31"/>
      <c r="P78" s="31"/>
      <c r="Q78" s="47"/>
      <c r="R78" s="31"/>
    </row>
    <row r="79" spans="1:18" ht="15">
      <c r="A79" s="2" t="s">
        <v>315</v>
      </c>
      <c r="B79" s="12"/>
      <c r="C79" s="10"/>
      <c r="D79" s="11">
        <v>10</v>
      </c>
      <c r="E79" s="16"/>
      <c r="F79" s="16"/>
      <c r="G79" s="16"/>
      <c r="N79" s="7"/>
      <c r="O79" s="31"/>
      <c r="P79" s="31"/>
      <c r="Q79" s="47"/>
      <c r="R79" s="31"/>
    </row>
    <row r="81" spans="1:7" ht="15">
      <c r="A81" s="89" t="s">
        <v>351</v>
      </c>
      <c r="B81" s="90"/>
      <c r="C81" s="91"/>
      <c r="D81" s="11">
        <v>5</v>
      </c>
    </row>
    <row r="82" spans="1:7" ht="15">
      <c r="A82" s="12" t="str">
        <f>Referencias!B151</f>
        <v>Papel Kraft A7</v>
      </c>
      <c r="B82" s="13">
        <v>1</v>
      </c>
      <c r="C82" s="6">
        <f>Referencias!F151</f>
        <v>7.0000000000000007E-2</v>
      </c>
      <c r="D82" s="6">
        <f t="shared" ref="D82:D87" si="6">B82*C82</f>
        <v>7.0000000000000007E-2</v>
      </c>
    </row>
    <row r="83" spans="1:7" ht="15">
      <c r="A83" s="12" t="str">
        <f>Referencias!B88</f>
        <v>Linha Circulo Maxi Mouline</v>
      </c>
      <c r="B83" s="13">
        <v>2</v>
      </c>
      <c r="C83" s="6">
        <f>Referencias!F88</f>
        <v>0.18</v>
      </c>
      <c r="D83" s="6">
        <f t="shared" si="6"/>
        <v>0.36</v>
      </c>
    </row>
    <row r="84" spans="1:7" ht="15">
      <c r="A84" s="12" t="str">
        <f>Referencias!B152</f>
        <v>Sulfite 75g A8</v>
      </c>
      <c r="B84" s="13">
        <v>1</v>
      </c>
      <c r="C84" s="6">
        <f>Referencias!F152</f>
        <v>0.01</v>
      </c>
      <c r="D84" s="6">
        <f t="shared" si="6"/>
        <v>0.01</v>
      </c>
    </row>
    <row r="85" spans="1:7" ht="15">
      <c r="A85" s="12" t="str">
        <f>Referencias!B62</f>
        <v>Frete</v>
      </c>
      <c r="B85" s="12"/>
      <c r="C85" s="6">
        <f>Referencias!F62</f>
        <v>0</v>
      </c>
      <c r="D85" s="6">
        <f t="shared" si="6"/>
        <v>0</v>
      </c>
    </row>
    <row r="86" spans="1:7" ht="15">
      <c r="A86" s="12" t="str">
        <f>Referencias!B14</f>
        <v>Desgaste Bloquinho/Outros</v>
      </c>
      <c r="B86" s="13">
        <v>1</v>
      </c>
      <c r="C86" s="6">
        <f>Referencias!F14</f>
        <v>0.5</v>
      </c>
      <c r="D86" s="6">
        <f t="shared" si="6"/>
        <v>0.5</v>
      </c>
    </row>
    <row r="87" spans="1:7" ht="15">
      <c r="A87" s="12" t="str">
        <f>Referencias!B17</f>
        <v>Embalagem Padrão</v>
      </c>
      <c r="B87" s="13">
        <v>1</v>
      </c>
      <c r="C87" s="6">
        <f>Referencias!F17</f>
        <v>1.5</v>
      </c>
      <c r="D87" s="6">
        <f t="shared" si="6"/>
        <v>1.5</v>
      </c>
    </row>
    <row r="88" spans="1:7" ht="15">
      <c r="A88" s="2" t="s">
        <v>312</v>
      </c>
      <c r="B88" s="12"/>
      <c r="C88" s="6"/>
      <c r="D88" s="3">
        <f>SUM(D82:D87)</f>
        <v>2.44</v>
      </c>
      <c r="E88" s="39"/>
      <c r="F88" s="39"/>
    </row>
    <row r="89" spans="1:7" ht="15">
      <c r="A89" s="2" t="s">
        <v>313</v>
      </c>
      <c r="B89" s="15">
        <v>0.55000000000000004</v>
      </c>
      <c r="C89" s="6">
        <f>D88*B89</f>
        <v>1.3420000000000001</v>
      </c>
      <c r="D89" s="3">
        <f>D88+C89</f>
        <v>3.782</v>
      </c>
      <c r="E89" s="92"/>
      <c r="F89" s="93"/>
      <c r="G89" s="93"/>
    </row>
    <row r="90" spans="1:7" ht="15">
      <c r="A90" s="2" t="s">
        <v>314</v>
      </c>
      <c r="B90" s="12"/>
      <c r="C90" s="10"/>
      <c r="D90" s="10"/>
      <c r="E90" s="7"/>
      <c r="F90" s="7"/>
      <c r="G90" s="7"/>
    </row>
    <row r="91" spans="1:7" ht="15">
      <c r="A91" s="2" t="s">
        <v>315</v>
      </c>
      <c r="B91" s="12"/>
      <c r="C91" s="10"/>
      <c r="D91" s="11">
        <v>5</v>
      </c>
      <c r="E91" s="16"/>
      <c r="F91" s="16"/>
      <c r="G91" s="16"/>
    </row>
    <row r="94" spans="1:7" ht="12.75">
      <c r="D94" s="14"/>
    </row>
    <row r="95" spans="1:7" ht="12.75">
      <c r="D95" s="14"/>
    </row>
    <row r="96" spans="1:7" ht="12.75">
      <c r="D96" s="14"/>
    </row>
  </sheetData>
  <mergeCells count="14">
    <mergeCell ref="A81:C81"/>
    <mergeCell ref="E89:G89"/>
    <mergeCell ref="A1:C1"/>
    <mergeCell ref="E11:G11"/>
    <mergeCell ref="A15:C15"/>
    <mergeCell ref="E24:G24"/>
    <mergeCell ref="A28:C28"/>
    <mergeCell ref="E37:G37"/>
    <mergeCell ref="A41:C41"/>
    <mergeCell ref="E51:G51"/>
    <mergeCell ref="A55:C55"/>
    <mergeCell ref="E64:G64"/>
    <mergeCell ref="A68:C68"/>
    <mergeCell ref="E77:G7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  <outlinePr summaryBelow="0" summaryRight="0"/>
  </sheetPr>
  <dimension ref="A1:R75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  <col min="14" max="14" width="7.28515625" customWidth="1"/>
    <col min="15" max="16" width="2.85546875" customWidth="1"/>
    <col min="17" max="17" width="4.7109375" customWidth="1"/>
    <col min="18" max="18" width="4.28515625" customWidth="1"/>
  </cols>
  <sheetData>
    <row r="1" spans="1:18" ht="15.75" customHeight="1">
      <c r="A1" s="89" t="s">
        <v>352</v>
      </c>
      <c r="B1" s="90"/>
      <c r="C1" s="91"/>
      <c r="D1" s="46">
        <v>50</v>
      </c>
      <c r="E1" s="18"/>
      <c r="F1" s="18"/>
      <c r="G1" s="18"/>
      <c r="H1" s="18"/>
      <c r="N1" s="7"/>
      <c r="O1" s="31"/>
      <c r="P1" s="31"/>
      <c r="Q1" s="47"/>
      <c r="R1" s="31"/>
    </row>
    <row r="2" spans="1:18" ht="15.75" customHeight="1">
      <c r="A2" s="48" t="str">
        <f>Referencias!B206</f>
        <v>Couro 16 cm x 11 cm</v>
      </c>
      <c r="B2" s="49">
        <v>40</v>
      </c>
      <c r="C2" s="50">
        <f>Referencias!F206</f>
        <v>0.02</v>
      </c>
      <c r="D2" s="50">
        <f t="shared" ref="D2:D10" si="0">B2*C2</f>
        <v>0.8</v>
      </c>
      <c r="E2" s="18"/>
      <c r="F2" s="18"/>
      <c r="G2" s="18"/>
      <c r="H2" s="18"/>
      <c r="N2" s="7"/>
      <c r="O2" s="31"/>
      <c r="P2" s="31"/>
      <c r="Q2" s="47"/>
      <c r="R2" s="31"/>
    </row>
    <row r="3" spans="1:18" ht="15.75" customHeight="1">
      <c r="A3" s="48" t="str">
        <f>Referencias!B207</f>
        <v>Couro 9 cm x 2 cm</v>
      </c>
      <c r="B3" s="49">
        <v>3</v>
      </c>
      <c r="C3" s="50">
        <f>Referencias!F207</f>
        <v>0.02</v>
      </c>
      <c r="D3" s="50">
        <f t="shared" si="0"/>
        <v>0.06</v>
      </c>
      <c r="E3" s="18"/>
      <c r="F3" s="18"/>
      <c r="G3" s="18"/>
      <c r="H3" s="18"/>
      <c r="N3" s="7"/>
      <c r="O3" s="31"/>
      <c r="P3" s="31"/>
      <c r="Q3" s="47"/>
      <c r="R3" s="31"/>
    </row>
    <row r="4" spans="1:18" ht="15.75" customHeight="1">
      <c r="A4" s="48" t="str">
        <f>Referencias!B144</f>
        <v>Papel Kraft A6</v>
      </c>
      <c r="B4" s="49">
        <v>2</v>
      </c>
      <c r="C4" s="50">
        <f>Referencias!F144</f>
        <v>0.13</v>
      </c>
      <c r="D4" s="50">
        <f t="shared" si="0"/>
        <v>0.26</v>
      </c>
      <c r="E4" s="43"/>
      <c r="F4" s="18"/>
      <c r="G4" s="18"/>
      <c r="H4" s="18"/>
      <c r="N4" s="7"/>
      <c r="O4" s="31"/>
      <c r="P4" s="31"/>
      <c r="Q4" s="47"/>
      <c r="R4" s="31"/>
    </row>
    <row r="5" spans="1:18" ht="15.75" customHeight="1">
      <c r="A5" s="48" t="str">
        <f>Referencias!B205</f>
        <v>Pólen Bold - 90 g/m2 - A5</v>
      </c>
      <c r="B5" s="49">
        <v>42</v>
      </c>
      <c r="C5" s="50">
        <f>Referencias!F205</f>
        <v>7.0000000000000007E-2</v>
      </c>
      <c r="D5" s="50">
        <f t="shared" si="0"/>
        <v>2.9400000000000004</v>
      </c>
      <c r="E5" s="43"/>
      <c r="F5" s="18"/>
      <c r="G5" s="18"/>
      <c r="H5" s="18"/>
      <c r="N5" s="7"/>
      <c r="O5" s="31"/>
      <c r="P5" s="31"/>
      <c r="Q5" s="47"/>
      <c r="R5" s="31"/>
    </row>
    <row r="6" spans="1:18" ht="15.75" customHeight="1">
      <c r="A6" s="48" t="str">
        <f>Referencias!B5</f>
        <v>Cordão Encerado Settanyl</v>
      </c>
      <c r="B6" s="49">
        <v>2</v>
      </c>
      <c r="C6" s="50">
        <f>Referencias!F5</f>
        <v>0.16</v>
      </c>
      <c r="D6" s="50">
        <f t="shared" si="0"/>
        <v>0.32</v>
      </c>
      <c r="E6" s="18"/>
      <c r="F6" s="18"/>
      <c r="G6" s="18"/>
      <c r="H6" s="18"/>
      <c r="N6" s="7"/>
      <c r="O6" s="31"/>
      <c r="P6" s="31"/>
      <c r="Q6" s="47"/>
      <c r="R6" s="31"/>
    </row>
    <row r="7" spans="1:18" ht="15.75" customHeight="1">
      <c r="A7" s="48" t="str">
        <f>Referencias!B94</f>
        <v>Cola Branca 1kg</v>
      </c>
      <c r="B7" s="51">
        <v>40</v>
      </c>
      <c r="C7" s="50">
        <f>Referencias!F88</f>
        <v>0.18</v>
      </c>
      <c r="D7" s="50">
        <f t="shared" si="0"/>
        <v>7.1999999999999993</v>
      </c>
      <c r="E7" s="52"/>
      <c r="F7" s="18"/>
      <c r="G7" s="18"/>
      <c r="H7" s="18"/>
      <c r="N7" s="7"/>
      <c r="O7" s="31"/>
      <c r="P7" s="31"/>
      <c r="Q7" s="47"/>
      <c r="R7" s="31"/>
    </row>
    <row r="8" spans="1:18" ht="15.75" customHeight="1">
      <c r="A8" s="48" t="str">
        <f>Referencias!B62</f>
        <v>Frete</v>
      </c>
      <c r="B8" s="51"/>
      <c r="C8" s="50">
        <f>Referencias!F62</f>
        <v>0</v>
      </c>
      <c r="D8" s="50">
        <f t="shared" si="0"/>
        <v>0</v>
      </c>
      <c r="E8" s="52"/>
      <c r="F8" s="18"/>
      <c r="G8" s="18"/>
      <c r="H8" s="18"/>
      <c r="N8" s="7"/>
      <c r="O8" s="31"/>
      <c r="P8" s="31"/>
      <c r="Q8" s="47"/>
      <c r="R8" s="31"/>
    </row>
    <row r="9" spans="1:18" ht="15.75" customHeight="1">
      <c r="A9" s="48" t="str">
        <f>Referencias!B14</f>
        <v>Desgaste Bloquinho/Outros</v>
      </c>
      <c r="B9" s="49">
        <v>1</v>
      </c>
      <c r="C9" s="50">
        <f>Referencias!F14</f>
        <v>0.5</v>
      </c>
      <c r="D9" s="50">
        <f t="shared" si="0"/>
        <v>0.5</v>
      </c>
      <c r="E9" s="18"/>
      <c r="F9" s="18"/>
      <c r="G9" s="18"/>
      <c r="H9" s="18"/>
      <c r="N9" s="7"/>
      <c r="O9" s="31"/>
      <c r="P9" s="31"/>
      <c r="Q9" s="47"/>
      <c r="R9" s="31"/>
    </row>
    <row r="10" spans="1:18" ht="15.75" customHeight="1">
      <c r="A10" s="48" t="str">
        <f>Referencias!B17</f>
        <v>Embalagem Padrão</v>
      </c>
      <c r="B10" s="49">
        <v>1</v>
      </c>
      <c r="C10" s="50">
        <f>Referencias!F17</f>
        <v>1.5</v>
      </c>
      <c r="D10" s="50">
        <f t="shared" si="0"/>
        <v>1.5</v>
      </c>
      <c r="E10" s="18"/>
      <c r="F10" s="18"/>
      <c r="G10" s="18"/>
      <c r="H10" s="18"/>
      <c r="N10" s="7"/>
      <c r="O10" s="31"/>
      <c r="P10" s="31"/>
      <c r="Q10" s="47"/>
      <c r="R10" s="31"/>
    </row>
    <row r="11" spans="1:18" ht="15.75" customHeight="1">
      <c r="A11" s="53" t="s">
        <v>312</v>
      </c>
      <c r="B11" s="51"/>
      <c r="C11" s="54"/>
      <c r="D11" s="55">
        <f>SUM(D2:D10)</f>
        <v>13.58</v>
      </c>
      <c r="E11" s="18"/>
      <c r="F11" s="18"/>
      <c r="G11" s="18"/>
      <c r="H11" s="18"/>
      <c r="N11" s="7"/>
      <c r="O11" s="31"/>
      <c r="P11" s="31"/>
      <c r="Q11" s="47"/>
      <c r="R11" s="31"/>
    </row>
    <row r="12" spans="1:18" ht="15.75" customHeight="1">
      <c r="A12" s="53" t="s">
        <v>313</v>
      </c>
      <c r="B12" s="56">
        <v>0.55000000000000004</v>
      </c>
      <c r="C12" s="50">
        <f>D11*B12</f>
        <v>7.4690000000000003</v>
      </c>
      <c r="D12" s="55">
        <f>D11+C12</f>
        <v>21.048999999999999</v>
      </c>
      <c r="E12" s="94"/>
      <c r="F12" s="93"/>
      <c r="G12" s="93"/>
      <c r="H12" s="18"/>
      <c r="N12" s="7"/>
      <c r="O12" s="31"/>
      <c r="P12" s="31"/>
      <c r="Q12" s="47"/>
      <c r="R12" s="31"/>
    </row>
    <row r="13" spans="1:18" ht="15.75" customHeight="1">
      <c r="A13" s="53" t="s">
        <v>314</v>
      </c>
      <c r="B13" s="12" t="s">
        <v>353</v>
      </c>
      <c r="C13" s="51"/>
      <c r="D13" s="54"/>
      <c r="E13" s="31"/>
      <c r="F13" s="31"/>
      <c r="G13" s="31"/>
      <c r="H13" s="18"/>
      <c r="N13" s="7"/>
      <c r="O13" s="31"/>
      <c r="P13" s="31"/>
      <c r="Q13" s="47"/>
      <c r="R13" s="31"/>
    </row>
    <row r="14" spans="1:18" ht="15.75" customHeight="1">
      <c r="A14" s="53" t="s">
        <v>315</v>
      </c>
      <c r="B14" s="49">
        <v>50</v>
      </c>
      <c r="C14" s="51">
        <v>80</v>
      </c>
      <c r="D14" s="58">
        <v>50</v>
      </c>
      <c r="E14" s="34"/>
      <c r="F14" s="34"/>
      <c r="G14" s="34"/>
      <c r="H14" s="18"/>
      <c r="N14" s="7"/>
      <c r="O14" s="31"/>
      <c r="P14" s="31"/>
      <c r="Q14" s="47"/>
      <c r="R14" s="31"/>
    </row>
    <row r="15" spans="1:18" ht="15.75" customHeight="1">
      <c r="A15" s="59"/>
      <c r="B15" s="59"/>
      <c r="C15" s="59"/>
      <c r="D15" s="60"/>
      <c r="E15" s="18"/>
      <c r="F15" s="18"/>
      <c r="G15" s="18"/>
      <c r="H15" s="18"/>
      <c r="N15" s="7"/>
      <c r="O15" s="31"/>
      <c r="P15" s="31"/>
      <c r="Q15" s="47"/>
      <c r="R15" s="31"/>
    </row>
    <row r="16" spans="1:18" ht="15.75" customHeight="1">
      <c r="A16" s="89" t="s">
        <v>354</v>
      </c>
      <c r="B16" s="90"/>
      <c r="C16" s="91"/>
      <c r="D16" s="11">
        <v>45</v>
      </c>
      <c r="N16" s="7"/>
      <c r="O16" s="31"/>
      <c r="P16" s="31"/>
      <c r="Q16" s="47"/>
      <c r="R16" s="31"/>
    </row>
    <row r="17" spans="1:18" ht="15.75" customHeight="1">
      <c r="A17" s="12" t="str">
        <f>Referencias!B208</f>
        <v>Couro 15 cm x 28 cm</v>
      </c>
      <c r="B17" s="13">
        <v>20</v>
      </c>
      <c r="C17" s="6">
        <f>Referencias!F208</f>
        <v>0.02</v>
      </c>
      <c r="D17" s="6">
        <f t="shared" ref="D17:D25" si="1">B17*C17</f>
        <v>0.4</v>
      </c>
      <c r="N17" s="7"/>
      <c r="O17" s="31"/>
      <c r="P17" s="31"/>
      <c r="Q17" s="47"/>
      <c r="R17" s="31"/>
    </row>
    <row r="18" spans="1:18" ht="15.75" customHeight="1">
      <c r="A18" s="12" t="str">
        <f>Referencias!B209</f>
        <v>Couro 1,5 cm x 30 cm</v>
      </c>
      <c r="B18" s="13">
        <v>9</v>
      </c>
      <c r="C18" s="6">
        <f>Referencias!F209</f>
        <v>0.02</v>
      </c>
      <c r="D18" s="6">
        <f t="shared" si="1"/>
        <v>0.18</v>
      </c>
      <c r="N18" s="7"/>
      <c r="O18" s="31"/>
      <c r="P18" s="31"/>
      <c r="Q18" s="47"/>
      <c r="R18" s="31"/>
    </row>
    <row r="19" spans="1:18" ht="15.75" customHeight="1">
      <c r="A19" s="12" t="str">
        <f>Referencias!B210</f>
        <v>Puxador De Metal Carrapeta 7mmx5mm</v>
      </c>
      <c r="B19" s="13">
        <v>1</v>
      </c>
      <c r="C19" s="6">
        <f>Referencias!F210</f>
        <v>3.3</v>
      </c>
      <c r="D19" s="6">
        <f t="shared" si="1"/>
        <v>3.3</v>
      </c>
      <c r="N19" s="7"/>
      <c r="O19" s="31"/>
      <c r="P19" s="31"/>
      <c r="Q19" s="47"/>
      <c r="R19" s="31"/>
    </row>
    <row r="20" spans="1:18" ht="15.75" customHeight="1">
      <c r="A20" s="12" t="str">
        <f>Referencias!B205</f>
        <v>Pólen Bold - 90 g/m2 - A5</v>
      </c>
      <c r="B20" s="13">
        <v>30</v>
      </c>
      <c r="C20" s="6">
        <f>Referencias!F205</f>
        <v>7.0000000000000007E-2</v>
      </c>
      <c r="D20" s="6">
        <f t="shared" si="1"/>
        <v>2.1</v>
      </c>
      <c r="N20" s="7"/>
      <c r="O20" s="31"/>
      <c r="P20" s="31"/>
      <c r="Q20" s="47"/>
      <c r="R20" s="31"/>
    </row>
    <row r="21" spans="1:18" ht="15.75" customHeight="1">
      <c r="A21" s="12" t="str">
        <f>Referencias!B5</f>
        <v>Cordão Encerado Settanyl</v>
      </c>
      <c r="B21" s="13">
        <v>0.6</v>
      </c>
      <c r="C21" s="6">
        <f>Referencias!F5</f>
        <v>0.16</v>
      </c>
      <c r="D21" s="6">
        <f t="shared" si="1"/>
        <v>9.6000000000000002E-2</v>
      </c>
      <c r="E21" s="39"/>
      <c r="N21" s="7"/>
      <c r="O21" s="31"/>
      <c r="P21" s="31"/>
      <c r="Q21" s="47"/>
      <c r="R21" s="31"/>
    </row>
    <row r="22" spans="1:18" ht="15.75" customHeight="1">
      <c r="A22" s="12" t="str">
        <f>Referencias!B94</f>
        <v>Cola Branca 1kg</v>
      </c>
      <c r="B22" s="13">
        <v>10</v>
      </c>
      <c r="C22" s="6">
        <f>Referencias!F94</f>
        <v>0.04</v>
      </c>
      <c r="D22" s="6">
        <f t="shared" si="1"/>
        <v>0.4</v>
      </c>
      <c r="N22" s="7"/>
      <c r="O22" s="31"/>
      <c r="P22" s="31"/>
      <c r="Q22" s="47"/>
      <c r="R22" s="31"/>
    </row>
    <row r="23" spans="1:18" ht="15.75" customHeight="1">
      <c r="A23" s="12" t="str">
        <f>Referencias!B62</f>
        <v>Frete</v>
      </c>
      <c r="B23" s="12"/>
      <c r="C23" s="6">
        <f>Referencias!F62</f>
        <v>0</v>
      </c>
      <c r="D23" s="6">
        <f t="shared" si="1"/>
        <v>0</v>
      </c>
      <c r="E23" s="14"/>
      <c r="N23" s="7"/>
      <c r="O23" s="31"/>
      <c r="P23" s="31"/>
      <c r="Q23" s="47"/>
      <c r="R23" s="31"/>
    </row>
    <row r="24" spans="1:18" ht="15.75" customHeight="1">
      <c r="A24" s="12" t="str">
        <f>Referencias!B14</f>
        <v>Desgaste Bloquinho/Outros</v>
      </c>
      <c r="B24" s="13">
        <v>1</v>
      </c>
      <c r="C24" s="6">
        <f>Referencias!F14</f>
        <v>0.5</v>
      </c>
      <c r="D24" s="6">
        <f t="shared" si="1"/>
        <v>0.5</v>
      </c>
      <c r="N24" s="7"/>
      <c r="O24" s="31"/>
      <c r="P24" s="31"/>
      <c r="Q24" s="47"/>
      <c r="R24" s="31"/>
    </row>
    <row r="25" spans="1:18" ht="15.75" customHeight="1">
      <c r="A25" s="12" t="str">
        <f>Referencias!B17</f>
        <v>Embalagem Padrão</v>
      </c>
      <c r="B25" s="13">
        <v>1</v>
      </c>
      <c r="C25" s="6">
        <f>Referencias!F17</f>
        <v>1.5</v>
      </c>
      <c r="D25" s="6">
        <f t="shared" si="1"/>
        <v>1.5</v>
      </c>
      <c r="N25" s="7"/>
      <c r="O25" s="31"/>
      <c r="P25" s="31"/>
      <c r="Q25" s="47"/>
      <c r="R25" s="31"/>
    </row>
    <row r="26" spans="1:18" ht="15.75" customHeight="1">
      <c r="A26" s="2" t="s">
        <v>312</v>
      </c>
      <c r="B26" s="12"/>
      <c r="C26" s="6"/>
      <c r="D26" s="3">
        <f>SUM(D17:D25)</f>
        <v>8.4760000000000009</v>
      </c>
      <c r="N26" s="7"/>
      <c r="O26" s="31"/>
      <c r="P26" s="31"/>
      <c r="Q26" s="47"/>
      <c r="R26" s="31"/>
    </row>
    <row r="27" spans="1:18" ht="15.75" customHeight="1">
      <c r="A27" s="2" t="s">
        <v>313</v>
      </c>
      <c r="B27" s="15">
        <v>0.55000000000000004</v>
      </c>
      <c r="C27" s="6">
        <f>D26*B27</f>
        <v>4.6618000000000013</v>
      </c>
      <c r="D27" s="3">
        <f>D26+C27</f>
        <v>13.137800000000002</v>
      </c>
      <c r="E27" s="92"/>
      <c r="F27" s="93"/>
      <c r="G27" s="93"/>
      <c r="N27" s="7"/>
      <c r="O27" s="31"/>
      <c r="P27" s="31"/>
      <c r="Q27" s="47"/>
      <c r="R27" s="31"/>
    </row>
    <row r="28" spans="1:18" ht="15.75" customHeight="1">
      <c r="A28" s="2" t="s">
        <v>314</v>
      </c>
      <c r="B28" s="12" t="s">
        <v>353</v>
      </c>
      <c r="C28" s="10"/>
      <c r="D28" s="10"/>
      <c r="E28" s="7"/>
      <c r="F28" s="7"/>
      <c r="G28" s="7"/>
      <c r="N28" s="7"/>
      <c r="O28" s="31"/>
      <c r="P28" s="31"/>
      <c r="Q28" s="47"/>
      <c r="R28" s="31"/>
    </row>
    <row r="29" spans="1:18" ht="15.75" customHeight="1">
      <c r="A29" s="2" t="s">
        <v>355</v>
      </c>
      <c r="B29" s="12">
        <v>50</v>
      </c>
      <c r="C29" s="10">
        <v>80</v>
      </c>
      <c r="D29" s="11">
        <v>45</v>
      </c>
      <c r="E29" s="16"/>
      <c r="F29" s="16"/>
      <c r="G29" s="16"/>
      <c r="N29" s="7"/>
      <c r="O29" s="31"/>
      <c r="P29" s="31"/>
      <c r="Q29" s="47"/>
      <c r="R29" s="31"/>
    </row>
    <row r="30" spans="1:18" ht="15.75" customHeight="1">
      <c r="N30" s="7"/>
      <c r="O30" s="31"/>
      <c r="P30" s="31"/>
      <c r="Q30" s="47"/>
      <c r="R30" s="31"/>
    </row>
    <row r="31" spans="1:18" ht="15.75" customHeight="1">
      <c r="A31" s="89" t="s">
        <v>356</v>
      </c>
      <c r="B31" s="90"/>
      <c r="C31" s="91"/>
      <c r="D31" s="11">
        <v>55</v>
      </c>
      <c r="N31" s="7"/>
      <c r="O31" s="31"/>
      <c r="P31" s="31"/>
      <c r="Q31" s="47"/>
      <c r="R31" s="31"/>
    </row>
    <row r="32" spans="1:18" ht="15.75" customHeight="1">
      <c r="A32" s="12" t="str">
        <f>Referencias!B211</f>
        <v>Couro 15 cm x 32 cm</v>
      </c>
      <c r="B32" s="13">
        <v>38</v>
      </c>
      <c r="C32" s="6">
        <f>Referencias!F211</f>
        <v>0.02</v>
      </c>
      <c r="D32" s="6">
        <f t="shared" ref="D32:D41" si="2">B32*C32</f>
        <v>0.76</v>
      </c>
      <c r="N32" s="7"/>
      <c r="O32" s="31"/>
      <c r="P32" s="31"/>
      <c r="Q32" s="47"/>
      <c r="R32" s="31"/>
    </row>
    <row r="33" spans="1:18" ht="15.75" customHeight="1">
      <c r="A33" s="12" t="str">
        <f>Referencias!B212</f>
        <v>Couro 15 cm x 3,5 cm</v>
      </c>
      <c r="B33" s="13">
        <v>12</v>
      </c>
      <c r="C33" s="6">
        <f>Referencias!F212</f>
        <v>0.02</v>
      </c>
      <c r="D33" s="6">
        <f t="shared" si="2"/>
        <v>0.24</v>
      </c>
      <c r="N33" s="7"/>
      <c r="O33" s="31"/>
      <c r="P33" s="31"/>
      <c r="Q33" s="47"/>
      <c r="R33" s="31"/>
    </row>
    <row r="34" spans="1:18" ht="15.75" customHeight="1">
      <c r="A34" s="12" t="str">
        <f>Referencias!B213</f>
        <v>Couro 15 cm x 9 cm</v>
      </c>
      <c r="B34" s="13">
        <v>10</v>
      </c>
      <c r="C34" s="6">
        <f>Referencias!F213</f>
        <v>0.02</v>
      </c>
      <c r="D34" s="6">
        <f t="shared" si="2"/>
        <v>0.2</v>
      </c>
      <c r="N34" s="7"/>
      <c r="O34" s="31"/>
      <c r="P34" s="31"/>
      <c r="Q34" s="47"/>
      <c r="R34" s="31"/>
    </row>
    <row r="35" spans="1:18" ht="15.75" customHeight="1">
      <c r="A35" s="12" t="str">
        <f>Referencias!B205</f>
        <v>Pólen Bold - 90 g/m2 - A5</v>
      </c>
      <c r="B35" s="13">
        <v>42</v>
      </c>
      <c r="C35" s="6">
        <f>Referencias!F205</f>
        <v>7.0000000000000007E-2</v>
      </c>
      <c r="D35" s="6">
        <f t="shared" si="2"/>
        <v>2.9400000000000004</v>
      </c>
      <c r="N35" s="7"/>
      <c r="O35" s="31"/>
      <c r="P35" s="31"/>
      <c r="Q35" s="47"/>
      <c r="R35" s="31"/>
    </row>
    <row r="36" spans="1:18" ht="15.75" customHeight="1">
      <c r="A36" s="12" t="str">
        <f>Referencias!B214</f>
        <v>Ímã Neodímio Ø 20x1 mm N35</v>
      </c>
      <c r="B36" s="13">
        <v>2</v>
      </c>
      <c r="C36" s="6">
        <f>Referencias!F214</f>
        <v>2.87</v>
      </c>
      <c r="D36" s="6">
        <f t="shared" si="2"/>
        <v>5.74</v>
      </c>
      <c r="N36" s="7"/>
      <c r="O36" s="31"/>
      <c r="P36" s="31"/>
      <c r="Q36" s="47"/>
      <c r="R36" s="31"/>
    </row>
    <row r="37" spans="1:18" ht="15">
      <c r="A37" s="12" t="str">
        <f>Referencias!B5</f>
        <v>Cordão Encerado Settanyl</v>
      </c>
      <c r="B37" s="13">
        <v>2.1</v>
      </c>
      <c r="C37" s="6">
        <f>Referencias!F5</f>
        <v>0.16</v>
      </c>
      <c r="D37" s="6">
        <f t="shared" si="2"/>
        <v>0.33600000000000002</v>
      </c>
      <c r="N37" s="7"/>
      <c r="O37" s="31"/>
      <c r="P37" s="31"/>
      <c r="Q37" s="47"/>
      <c r="R37" s="31"/>
    </row>
    <row r="38" spans="1:18" ht="15">
      <c r="A38" s="12" t="str">
        <f>Referencias!B94</f>
        <v>Cola Branca 1kg</v>
      </c>
      <c r="B38" s="13">
        <v>20</v>
      </c>
      <c r="C38" s="6">
        <f>Referencias!F94</f>
        <v>0.04</v>
      </c>
      <c r="D38" s="6">
        <f t="shared" si="2"/>
        <v>0.8</v>
      </c>
      <c r="N38" s="7"/>
      <c r="O38" s="31"/>
      <c r="P38" s="31"/>
      <c r="Q38" s="47"/>
      <c r="R38" s="31"/>
    </row>
    <row r="39" spans="1:18" ht="15">
      <c r="A39" s="12" t="str">
        <f>Referencias!B62</f>
        <v>Frete</v>
      </c>
      <c r="B39" s="12"/>
      <c r="C39" s="6">
        <f>Referencias!F62</f>
        <v>0</v>
      </c>
      <c r="D39" s="6">
        <f t="shared" si="2"/>
        <v>0</v>
      </c>
      <c r="N39" s="7"/>
      <c r="O39" s="31"/>
      <c r="P39" s="31"/>
      <c r="Q39" s="47"/>
      <c r="R39" s="31"/>
    </row>
    <row r="40" spans="1:18" ht="15">
      <c r="A40" s="12" t="str">
        <f>Referencias!B14</f>
        <v>Desgaste Bloquinho/Outros</v>
      </c>
      <c r="B40" s="13">
        <v>1</v>
      </c>
      <c r="C40" s="6">
        <f>Referencias!F14</f>
        <v>0.5</v>
      </c>
      <c r="D40" s="6">
        <f t="shared" si="2"/>
        <v>0.5</v>
      </c>
      <c r="N40" s="7"/>
      <c r="O40" s="31"/>
      <c r="P40" s="31"/>
      <c r="Q40" s="47"/>
      <c r="R40" s="31"/>
    </row>
    <row r="41" spans="1:18" ht="15">
      <c r="A41" s="12" t="str">
        <f>Referencias!B17</f>
        <v>Embalagem Padrão</v>
      </c>
      <c r="B41" s="13">
        <v>1</v>
      </c>
      <c r="C41" s="6">
        <f>Referencias!F17</f>
        <v>1.5</v>
      </c>
      <c r="D41" s="6">
        <f t="shared" si="2"/>
        <v>1.5</v>
      </c>
      <c r="N41" s="7"/>
      <c r="O41" s="31"/>
      <c r="P41" s="31"/>
      <c r="Q41" s="47"/>
      <c r="R41" s="31"/>
    </row>
    <row r="42" spans="1:18" ht="15">
      <c r="A42" s="2" t="s">
        <v>312</v>
      </c>
      <c r="B42" s="12"/>
      <c r="C42" s="6"/>
      <c r="D42" s="3">
        <f>SUM(D32:D41)</f>
        <v>13.016000000000002</v>
      </c>
      <c r="N42" s="7"/>
      <c r="O42" s="31"/>
      <c r="P42" s="31"/>
      <c r="Q42" s="47"/>
      <c r="R42" s="31"/>
    </row>
    <row r="43" spans="1:18" ht="15">
      <c r="A43" s="2" t="s">
        <v>313</v>
      </c>
      <c r="B43" s="15">
        <v>0.55000000000000004</v>
      </c>
      <c r="C43" s="6">
        <f>D42*B43</f>
        <v>7.1588000000000012</v>
      </c>
      <c r="D43" s="3">
        <f>D42+C43</f>
        <v>20.174800000000005</v>
      </c>
      <c r="E43" s="92"/>
      <c r="F43" s="93"/>
      <c r="G43" s="93"/>
      <c r="N43" s="7"/>
      <c r="O43" s="31"/>
      <c r="P43" s="31"/>
      <c r="Q43" s="47"/>
      <c r="R43" s="31"/>
    </row>
    <row r="44" spans="1:18" ht="15">
      <c r="A44" s="2" t="s">
        <v>314</v>
      </c>
      <c r="B44" s="12" t="s">
        <v>353</v>
      </c>
      <c r="C44" s="10"/>
      <c r="D44" s="10"/>
      <c r="E44" s="7"/>
      <c r="F44" s="7"/>
      <c r="G44" s="7"/>
      <c r="N44" s="7"/>
      <c r="O44" s="31"/>
      <c r="P44" s="31"/>
      <c r="Q44" s="47"/>
      <c r="R44" s="31"/>
    </row>
    <row r="45" spans="1:18" ht="15">
      <c r="A45" s="2" t="s">
        <v>315</v>
      </c>
      <c r="B45" s="12">
        <v>50</v>
      </c>
      <c r="C45" s="10">
        <v>80</v>
      </c>
      <c r="D45" s="11">
        <v>55</v>
      </c>
      <c r="E45" s="16"/>
      <c r="F45" s="16"/>
      <c r="G45" s="16"/>
      <c r="N45" s="7"/>
      <c r="O45" s="31"/>
      <c r="P45" s="31"/>
      <c r="Q45" s="47"/>
      <c r="R45" s="31"/>
    </row>
    <row r="46" spans="1:18" ht="15">
      <c r="N46" s="7"/>
      <c r="O46" s="31"/>
      <c r="P46" s="31"/>
      <c r="Q46" s="47"/>
      <c r="R46" s="31"/>
    </row>
    <row r="47" spans="1:18" ht="15">
      <c r="A47" s="89" t="s">
        <v>357</v>
      </c>
      <c r="B47" s="90"/>
      <c r="C47" s="91"/>
      <c r="D47" s="3">
        <v>15</v>
      </c>
    </row>
    <row r="48" spans="1:18" ht="15">
      <c r="A48" s="12" t="str">
        <f>Referencias!B128</f>
        <v>Couro 7,5 cm x 3 cm</v>
      </c>
      <c r="B48" s="13">
        <v>2</v>
      </c>
      <c r="C48" s="6">
        <f>Referencias!F128</f>
        <v>0.02</v>
      </c>
      <c r="D48" s="6">
        <f t="shared" ref="D48:D56" si="3">B48*C48</f>
        <v>0.04</v>
      </c>
    </row>
    <row r="49" spans="1:7" ht="15">
      <c r="A49" s="12" t="str">
        <f>Referencias!B129</f>
        <v>miolo 75gr 3cm x 5 cm</v>
      </c>
      <c r="B49" s="13">
        <v>10</v>
      </c>
      <c r="C49" s="6">
        <f>Referencias!F129</f>
        <v>0.01</v>
      </c>
      <c r="D49" s="6">
        <f t="shared" si="3"/>
        <v>0.1</v>
      </c>
    </row>
    <row r="50" spans="1:7" ht="15">
      <c r="A50" s="12" t="str">
        <f>Referencias!B5</f>
        <v>Cordão Encerado Settanyl</v>
      </c>
      <c r="B50" s="13">
        <v>0.2</v>
      </c>
      <c r="C50" s="6">
        <f>Referencias!F5</f>
        <v>0.16</v>
      </c>
      <c r="D50" s="6">
        <f t="shared" si="3"/>
        <v>3.2000000000000001E-2</v>
      </c>
    </row>
    <row r="51" spans="1:7" ht="15">
      <c r="A51" s="12" t="str">
        <f>Referencias!B132</f>
        <v>Argola para Chaveiro</v>
      </c>
      <c r="B51" s="13">
        <v>1</v>
      </c>
      <c r="C51" s="6">
        <f>Referencias!F132</f>
        <v>0.1</v>
      </c>
      <c r="D51" s="6">
        <f t="shared" si="3"/>
        <v>0.1</v>
      </c>
    </row>
    <row r="52" spans="1:7" ht="15">
      <c r="A52" s="12" t="str">
        <f>Referencias!B130</f>
        <v>Cordão cetim</v>
      </c>
      <c r="B52" s="13">
        <v>0.9</v>
      </c>
      <c r="C52" s="6">
        <f>Referencias!F130</f>
        <v>0.21</v>
      </c>
      <c r="D52" s="6">
        <f t="shared" si="3"/>
        <v>0.189</v>
      </c>
    </row>
    <row r="53" spans="1:7" ht="15">
      <c r="A53" s="12" t="str">
        <f>Referencias!B131</f>
        <v>Tira couro fechamento</v>
      </c>
      <c r="B53" s="12">
        <v>0.5</v>
      </c>
      <c r="C53" s="6">
        <f>Referencias!F131</f>
        <v>0.02</v>
      </c>
      <c r="D53" s="6">
        <f t="shared" si="3"/>
        <v>0.01</v>
      </c>
    </row>
    <row r="54" spans="1:7" ht="15">
      <c r="A54" s="12" t="str">
        <f>Referencias!B62</f>
        <v>Frete</v>
      </c>
      <c r="B54" s="12"/>
      <c r="C54" s="6">
        <f>Referencias!F62</f>
        <v>0</v>
      </c>
      <c r="D54" s="6">
        <f t="shared" si="3"/>
        <v>0</v>
      </c>
    </row>
    <row r="55" spans="1:7" ht="15">
      <c r="A55" s="12" t="str">
        <f>Referencias!B15</f>
        <v>Desgaste Caderno A5</v>
      </c>
      <c r="B55" s="13">
        <v>1</v>
      </c>
      <c r="C55" s="6">
        <f>Referencias!F15</f>
        <v>2</v>
      </c>
      <c r="D55" s="6">
        <f t="shared" si="3"/>
        <v>2</v>
      </c>
    </row>
    <row r="56" spans="1:7" ht="15">
      <c r="A56" s="12" t="str">
        <f>Referencias!B17</f>
        <v>Embalagem Padrão</v>
      </c>
      <c r="B56" s="13">
        <v>1</v>
      </c>
      <c r="C56" s="6">
        <f>Referencias!F17</f>
        <v>1.5</v>
      </c>
      <c r="D56" s="6">
        <f t="shared" si="3"/>
        <v>1.5</v>
      </c>
    </row>
    <row r="57" spans="1:7" ht="15">
      <c r="A57" s="2" t="s">
        <v>312</v>
      </c>
      <c r="B57" s="12"/>
      <c r="C57" s="10"/>
      <c r="D57" s="3">
        <f>SUM(D48:D56)</f>
        <v>3.9710000000000001</v>
      </c>
      <c r="E57" s="92"/>
      <c r="F57" s="93"/>
      <c r="G57" s="93"/>
    </row>
    <row r="58" spans="1:7" ht="15">
      <c r="A58" s="2" t="s">
        <v>313</v>
      </c>
      <c r="B58" s="15">
        <v>0.55000000000000004</v>
      </c>
      <c r="C58" s="6">
        <f>D57*B58</f>
        <v>2.18405</v>
      </c>
      <c r="D58" s="3">
        <f>D57+C58</f>
        <v>6.1550500000000001</v>
      </c>
      <c r="E58" s="7"/>
      <c r="F58" s="7"/>
      <c r="G58" s="7"/>
    </row>
    <row r="59" spans="1:7" ht="15">
      <c r="A59" s="2" t="s">
        <v>314</v>
      </c>
      <c r="B59" s="40"/>
      <c r="C59" s="36"/>
      <c r="D59" s="10"/>
      <c r="E59" s="16"/>
      <c r="F59" s="16"/>
      <c r="G59" s="16"/>
    </row>
    <row r="60" spans="1:7" ht="15">
      <c r="A60" s="2" t="s">
        <v>315</v>
      </c>
      <c r="B60" s="37"/>
      <c r="C60" s="41"/>
      <c r="D60" s="3">
        <v>15</v>
      </c>
      <c r="E60" s="39"/>
      <c r="F60" s="39"/>
      <c r="G60" s="39"/>
    </row>
    <row r="62" spans="1:7" ht="15">
      <c r="A62" s="89" t="s">
        <v>339</v>
      </c>
      <c r="B62" s="90"/>
      <c r="C62" s="91"/>
      <c r="D62" s="11">
        <v>25</v>
      </c>
    </row>
    <row r="63" spans="1:7" ht="15">
      <c r="A63" s="12" t="str">
        <f>Referencias!B218</f>
        <v>Couro 22 cm x 8 cm</v>
      </c>
      <c r="B63" s="13">
        <v>20</v>
      </c>
      <c r="C63" s="6">
        <f>Referencias!F218</f>
        <v>0.02</v>
      </c>
      <c r="D63" s="6">
        <f t="shared" ref="D63:D71" si="4">B63*C63</f>
        <v>0.4</v>
      </c>
    </row>
    <row r="64" spans="1:7" ht="15">
      <c r="A64" s="12" t="str">
        <f>Referencias!B219</f>
        <v>Couro 6 cm x 8 cm</v>
      </c>
      <c r="B64" s="13">
        <v>5</v>
      </c>
      <c r="C64" s="6">
        <f>Referencias!F219</f>
        <v>0.02</v>
      </c>
      <c r="D64" s="6">
        <f t="shared" si="4"/>
        <v>0.1</v>
      </c>
    </row>
    <row r="65" spans="1:7" ht="15">
      <c r="A65" s="12" t="str">
        <f>Referencias!B219</f>
        <v>Couro 6 cm x 8 cm</v>
      </c>
      <c r="B65" s="13">
        <v>5</v>
      </c>
      <c r="C65" s="6">
        <f>Referencias!F219</f>
        <v>0.02</v>
      </c>
      <c r="D65" s="6">
        <f t="shared" si="4"/>
        <v>0.1</v>
      </c>
    </row>
    <row r="66" spans="1:7" ht="15">
      <c r="A66" s="12" t="str">
        <f>Referencias!B217</f>
        <v>miolo 90gr A7</v>
      </c>
      <c r="B66" s="13">
        <v>60</v>
      </c>
      <c r="C66" s="6">
        <f>Referencias!F217</f>
        <v>0.01</v>
      </c>
      <c r="D66" s="6">
        <f t="shared" si="4"/>
        <v>0.6</v>
      </c>
    </row>
    <row r="67" spans="1:7" ht="15">
      <c r="A67" s="12" t="str">
        <f>Referencias!B5</f>
        <v>Cordão Encerado Settanyl</v>
      </c>
      <c r="B67" s="13">
        <v>0.54</v>
      </c>
      <c r="C67" s="6">
        <f>Referencias!F5</f>
        <v>0.16</v>
      </c>
      <c r="D67" s="6">
        <f t="shared" si="4"/>
        <v>8.6400000000000005E-2</v>
      </c>
    </row>
    <row r="68" spans="1:7" ht="15">
      <c r="A68" s="12" t="str">
        <f>Referencias!B150</f>
        <v>Impressao Miolo Frente Verso A7</v>
      </c>
      <c r="B68" s="13">
        <v>60</v>
      </c>
      <c r="C68" s="6">
        <f>Referencias!F150</f>
        <v>0.02</v>
      </c>
      <c r="D68" s="6">
        <f t="shared" si="4"/>
        <v>1.2</v>
      </c>
    </row>
    <row r="69" spans="1:7" ht="15">
      <c r="A69" s="12" t="str">
        <f>Referencias!B62</f>
        <v>Frete</v>
      </c>
      <c r="B69" s="12"/>
      <c r="C69" s="6">
        <f>Referencias!F62</f>
        <v>0</v>
      </c>
      <c r="D69" s="6">
        <f t="shared" si="4"/>
        <v>0</v>
      </c>
    </row>
    <row r="70" spans="1:7" ht="15">
      <c r="A70" s="12" t="str">
        <f>Referencias!B14</f>
        <v>Desgaste Bloquinho/Outros</v>
      </c>
      <c r="B70" s="13">
        <v>1</v>
      </c>
      <c r="C70" s="6">
        <f>Referencias!F14</f>
        <v>0.5</v>
      </c>
      <c r="D70" s="6">
        <f t="shared" si="4"/>
        <v>0.5</v>
      </c>
    </row>
    <row r="71" spans="1:7" ht="15">
      <c r="A71" s="12" t="str">
        <f>Referencias!B17</f>
        <v>Embalagem Padrão</v>
      </c>
      <c r="B71" s="13">
        <v>1</v>
      </c>
      <c r="C71" s="6">
        <f>Referencias!F17</f>
        <v>1.5</v>
      </c>
      <c r="D71" s="6">
        <f t="shared" si="4"/>
        <v>1.5</v>
      </c>
    </row>
    <row r="72" spans="1:7" ht="15">
      <c r="A72" s="2" t="s">
        <v>312</v>
      </c>
      <c r="B72" s="12"/>
      <c r="C72" s="6"/>
      <c r="D72" s="3">
        <f>SUM(D63:D71)</f>
        <v>4.4863999999999997</v>
      </c>
      <c r="E72" s="39"/>
      <c r="F72" s="39"/>
    </row>
    <row r="73" spans="1:7" ht="15">
      <c r="A73" s="2" t="s">
        <v>313</v>
      </c>
      <c r="B73" s="15">
        <v>0.55000000000000004</v>
      </c>
      <c r="C73" s="6">
        <f>D72*B73</f>
        <v>2.4675199999999999</v>
      </c>
      <c r="D73" s="3">
        <f>D72+C73</f>
        <v>6.9539200000000001</v>
      </c>
      <c r="E73" s="92"/>
      <c r="F73" s="93"/>
      <c r="G73" s="93"/>
    </row>
    <row r="74" spans="1:7" ht="15">
      <c r="A74" s="2" t="s">
        <v>314</v>
      </c>
      <c r="B74" s="12"/>
      <c r="C74" s="10"/>
      <c r="D74" s="10"/>
      <c r="E74" s="7"/>
      <c r="F74" s="7"/>
      <c r="G74" s="7"/>
    </row>
    <row r="75" spans="1:7" ht="15">
      <c r="A75" s="2" t="s">
        <v>315</v>
      </c>
      <c r="B75" s="12"/>
      <c r="C75" s="10"/>
      <c r="D75" s="11">
        <v>25</v>
      </c>
      <c r="E75" s="16"/>
      <c r="F75" s="16"/>
      <c r="G75" s="16"/>
    </row>
  </sheetData>
  <mergeCells count="10">
    <mergeCell ref="E57:G57"/>
    <mergeCell ref="A62:C62"/>
    <mergeCell ref="E73:G73"/>
    <mergeCell ref="A1:C1"/>
    <mergeCell ref="E12:G12"/>
    <mergeCell ref="A16:C16"/>
    <mergeCell ref="E27:G27"/>
    <mergeCell ref="A31:C31"/>
    <mergeCell ref="E43:G43"/>
    <mergeCell ref="A47:C4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  <outlinePr summaryBelow="0" summaryRight="0"/>
  </sheetPr>
  <dimension ref="A1:R145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  <col min="14" max="14" width="7.28515625" customWidth="1"/>
    <col min="15" max="16" width="2.85546875" customWidth="1"/>
    <col min="17" max="17" width="4.7109375" customWidth="1"/>
    <col min="18" max="18" width="4.28515625" customWidth="1"/>
  </cols>
  <sheetData>
    <row r="1" spans="1:18" ht="15.75" customHeight="1">
      <c r="A1" s="89" t="s">
        <v>358</v>
      </c>
      <c r="B1" s="90"/>
      <c r="C1" s="91"/>
      <c r="D1" s="3">
        <v>15</v>
      </c>
      <c r="N1" s="7"/>
      <c r="O1" s="31"/>
      <c r="P1" s="31"/>
      <c r="Q1" s="47"/>
      <c r="R1" s="31"/>
    </row>
    <row r="2" spans="1:18" ht="15.75" customHeight="1">
      <c r="A2" s="12" t="str">
        <f>Referencias!B202</f>
        <v>Fio de Malha Euroroma 140m</v>
      </c>
      <c r="B2" s="13">
        <v>140</v>
      </c>
      <c r="C2" s="6">
        <f>Referencias!F202</f>
        <v>0.02</v>
      </c>
      <c r="D2" s="21">
        <f t="shared" ref="D2:D5" si="0">B2*C2</f>
        <v>2.8000000000000003</v>
      </c>
      <c r="N2" s="7"/>
      <c r="O2" s="31"/>
      <c r="P2" s="31"/>
      <c r="Q2" s="47"/>
      <c r="R2" s="31"/>
    </row>
    <row r="3" spans="1:18" ht="15.75" customHeight="1">
      <c r="A3" s="12" t="str">
        <f>Referencias!B62</f>
        <v>Frete</v>
      </c>
      <c r="B3" s="12"/>
      <c r="C3" s="6">
        <f>Referencias!F62</f>
        <v>0</v>
      </c>
      <c r="D3" s="21">
        <f t="shared" si="0"/>
        <v>0</v>
      </c>
      <c r="N3" s="7"/>
      <c r="O3" s="31"/>
      <c r="P3" s="31"/>
      <c r="Q3" s="47"/>
      <c r="R3" s="31"/>
    </row>
    <row r="4" spans="1:18" ht="15.75" customHeight="1">
      <c r="A4" s="12" t="str">
        <f>Referencias!B14</f>
        <v>Desgaste Bloquinho/Outros</v>
      </c>
      <c r="B4" s="13">
        <v>1</v>
      </c>
      <c r="C4" s="6">
        <f>Referencias!F14</f>
        <v>0.5</v>
      </c>
      <c r="D4" s="21">
        <f t="shared" si="0"/>
        <v>0.5</v>
      </c>
      <c r="N4" s="7"/>
      <c r="O4" s="31"/>
      <c r="P4" s="31"/>
      <c r="Q4" s="47"/>
      <c r="R4" s="31"/>
    </row>
    <row r="5" spans="1:18" ht="15.75" customHeight="1">
      <c r="A5" s="12" t="str">
        <f>Referencias!B17</f>
        <v>Embalagem Padrão</v>
      </c>
      <c r="B5" s="13">
        <v>1</v>
      </c>
      <c r="C5" s="6">
        <f>Referencias!F17</f>
        <v>1.5</v>
      </c>
      <c r="D5" s="21">
        <f t="shared" si="0"/>
        <v>1.5</v>
      </c>
      <c r="N5" s="7"/>
      <c r="O5" s="31"/>
      <c r="P5" s="31"/>
      <c r="Q5" s="47"/>
      <c r="R5" s="31"/>
    </row>
    <row r="6" spans="1:18" ht="15.75" customHeight="1">
      <c r="A6" s="2" t="s">
        <v>312</v>
      </c>
      <c r="B6" s="12"/>
      <c r="C6" s="10"/>
      <c r="D6" s="3">
        <f>SUM(D2:D5)</f>
        <v>4.8000000000000007</v>
      </c>
      <c r="N6" s="7"/>
      <c r="O6" s="31"/>
      <c r="P6" s="31"/>
      <c r="Q6" s="47"/>
      <c r="R6" s="31"/>
    </row>
    <row r="7" spans="1:18" ht="15.75" customHeight="1">
      <c r="A7" s="2" t="s">
        <v>313</v>
      </c>
      <c r="B7" s="15">
        <v>0.55000000000000004</v>
      </c>
      <c r="C7" s="6">
        <f>D6*B7</f>
        <v>2.6400000000000006</v>
      </c>
      <c r="D7" s="3">
        <f>D6+C7</f>
        <v>7.4400000000000013</v>
      </c>
      <c r="E7" s="92"/>
      <c r="F7" s="93"/>
      <c r="G7" s="93"/>
      <c r="N7" s="7"/>
      <c r="O7" s="31"/>
      <c r="P7" s="31"/>
      <c r="Q7" s="47"/>
      <c r="R7" s="31"/>
    </row>
    <row r="8" spans="1:18" ht="15.75" customHeight="1">
      <c r="A8" s="2" t="s">
        <v>314</v>
      </c>
      <c r="B8" s="40"/>
      <c r="C8" s="36"/>
      <c r="D8" s="10"/>
      <c r="E8" s="7"/>
      <c r="F8" s="7"/>
      <c r="G8" s="7"/>
      <c r="N8" s="7"/>
      <c r="O8" s="31"/>
      <c r="P8" s="31"/>
      <c r="Q8" s="47"/>
      <c r="R8" s="31"/>
    </row>
    <row r="9" spans="1:18" ht="15.75" customHeight="1">
      <c r="A9" s="2" t="s">
        <v>315</v>
      </c>
      <c r="B9" s="37"/>
      <c r="C9" s="41"/>
      <c r="D9" s="3">
        <v>15</v>
      </c>
      <c r="E9" s="16"/>
      <c r="F9" s="16"/>
      <c r="G9" s="16"/>
      <c r="N9" s="7"/>
      <c r="O9" s="31"/>
      <c r="P9" s="31"/>
      <c r="Q9" s="47"/>
      <c r="R9" s="31"/>
    </row>
    <row r="10" spans="1:18" ht="15.75" customHeight="1">
      <c r="N10" s="7"/>
      <c r="O10" s="31"/>
      <c r="P10" s="31"/>
      <c r="Q10" s="47"/>
      <c r="R10" s="31"/>
    </row>
    <row r="11" spans="1:18" ht="15.75" customHeight="1">
      <c r="A11" s="89" t="s">
        <v>359</v>
      </c>
      <c r="B11" s="90"/>
      <c r="C11" s="91"/>
      <c r="D11" s="3">
        <v>15</v>
      </c>
      <c r="N11" s="7"/>
      <c r="O11" s="31"/>
      <c r="P11" s="31"/>
      <c r="Q11" s="47"/>
      <c r="R11" s="31"/>
    </row>
    <row r="12" spans="1:18" ht="15.75" customHeight="1">
      <c r="A12" s="12" t="str">
        <f>Referencias!B202</f>
        <v>Fio de Malha Euroroma 140m</v>
      </c>
      <c r="B12" s="13">
        <v>140</v>
      </c>
      <c r="C12" s="6">
        <f>Referencias!F202</f>
        <v>0.02</v>
      </c>
      <c r="D12" s="6">
        <f t="shared" ref="D12:D15" si="1">B12*C12</f>
        <v>2.8000000000000003</v>
      </c>
      <c r="N12" s="7"/>
      <c r="O12" s="31"/>
      <c r="P12" s="31"/>
      <c r="Q12" s="47"/>
      <c r="R12" s="31"/>
    </row>
    <row r="13" spans="1:18" ht="15.75" customHeight="1">
      <c r="A13" s="12" t="str">
        <f>Referencias!B62</f>
        <v>Frete</v>
      </c>
      <c r="B13" s="12"/>
      <c r="C13" s="6">
        <f>Referencias!F62</f>
        <v>0</v>
      </c>
      <c r="D13" s="6">
        <f t="shared" si="1"/>
        <v>0</v>
      </c>
      <c r="N13" s="7"/>
      <c r="O13" s="31"/>
      <c r="P13" s="31"/>
      <c r="Q13" s="47"/>
      <c r="R13" s="31"/>
    </row>
    <row r="14" spans="1:18" ht="15.75" customHeight="1">
      <c r="A14" s="12" t="str">
        <f>Referencias!B14</f>
        <v>Desgaste Bloquinho/Outros</v>
      </c>
      <c r="B14" s="13">
        <v>1</v>
      </c>
      <c r="C14" s="6">
        <f>Referencias!F14</f>
        <v>0.5</v>
      </c>
      <c r="D14" s="6">
        <f t="shared" si="1"/>
        <v>0.5</v>
      </c>
      <c r="N14" s="7"/>
      <c r="O14" s="31"/>
      <c r="P14" s="31"/>
      <c r="Q14" s="47"/>
      <c r="R14" s="31"/>
    </row>
    <row r="15" spans="1:18" ht="15.75" customHeight="1">
      <c r="A15" s="12" t="str">
        <f>Referencias!B17</f>
        <v>Embalagem Padrão</v>
      </c>
      <c r="B15" s="13">
        <v>1</v>
      </c>
      <c r="C15" s="6">
        <f>Referencias!F17</f>
        <v>1.5</v>
      </c>
      <c r="D15" s="6">
        <f t="shared" si="1"/>
        <v>1.5</v>
      </c>
      <c r="N15" s="7"/>
      <c r="O15" s="31"/>
      <c r="P15" s="31"/>
      <c r="Q15" s="47"/>
      <c r="R15" s="31"/>
    </row>
    <row r="16" spans="1:18" ht="15.75" customHeight="1">
      <c r="A16" s="2" t="s">
        <v>312</v>
      </c>
      <c r="B16" s="12"/>
      <c r="C16" s="6"/>
      <c r="D16" s="3">
        <f>SUM(D12:D15)</f>
        <v>4.8000000000000007</v>
      </c>
      <c r="N16" s="7"/>
      <c r="O16" s="31"/>
      <c r="P16" s="31"/>
      <c r="Q16" s="47"/>
      <c r="R16" s="31"/>
    </row>
    <row r="17" spans="1:18" ht="15.75" customHeight="1">
      <c r="A17" s="2" t="s">
        <v>313</v>
      </c>
      <c r="B17" s="15">
        <v>0.55000000000000004</v>
      </c>
      <c r="C17" s="6">
        <f>D16*B17</f>
        <v>2.6400000000000006</v>
      </c>
      <c r="D17" s="3">
        <f>D16+C17</f>
        <v>7.4400000000000013</v>
      </c>
      <c r="E17" s="92"/>
      <c r="F17" s="93"/>
      <c r="G17" s="93"/>
      <c r="N17" s="7"/>
      <c r="O17" s="31"/>
      <c r="P17" s="31"/>
      <c r="Q17" s="47"/>
      <c r="R17" s="31"/>
    </row>
    <row r="18" spans="1:18" ht="15.75" customHeight="1">
      <c r="A18" s="2" t="s">
        <v>314</v>
      </c>
      <c r="B18" s="40"/>
      <c r="C18" s="36"/>
      <c r="D18" s="10"/>
      <c r="E18" s="7"/>
      <c r="F18" s="7"/>
      <c r="G18" s="7"/>
      <c r="N18" s="7"/>
      <c r="O18" s="31"/>
      <c r="P18" s="31"/>
      <c r="Q18" s="47"/>
      <c r="R18" s="31"/>
    </row>
    <row r="19" spans="1:18" ht="15.75" customHeight="1">
      <c r="A19" s="2" t="s">
        <v>315</v>
      </c>
      <c r="B19" s="37"/>
      <c r="C19" s="36"/>
      <c r="D19" s="3">
        <v>15</v>
      </c>
      <c r="E19" s="16"/>
      <c r="F19" s="16"/>
      <c r="G19" s="16"/>
      <c r="N19" s="7"/>
      <c r="O19" s="31"/>
      <c r="P19" s="31"/>
      <c r="Q19" s="47"/>
      <c r="R19" s="31"/>
    </row>
    <row r="20" spans="1:18" ht="15.75" customHeight="1">
      <c r="N20" s="7"/>
      <c r="O20" s="31"/>
      <c r="P20" s="31"/>
      <c r="Q20" s="47"/>
      <c r="R20" s="31"/>
    </row>
    <row r="21" spans="1:18" ht="15.75" customHeight="1">
      <c r="A21" s="89" t="s">
        <v>360</v>
      </c>
      <c r="B21" s="90"/>
      <c r="C21" s="91"/>
      <c r="D21" s="3">
        <v>20</v>
      </c>
      <c r="N21" s="7"/>
      <c r="O21" s="31"/>
      <c r="P21" s="31"/>
      <c r="Q21" s="47"/>
      <c r="R21" s="31"/>
    </row>
    <row r="22" spans="1:18" ht="15.75" customHeight="1">
      <c r="A22" s="12" t="str">
        <f>Referencias!B202</f>
        <v>Fio de Malha Euroroma 140m</v>
      </c>
      <c r="B22" s="13">
        <v>250</v>
      </c>
      <c r="C22" s="6">
        <f>Referencias!F202</f>
        <v>0.02</v>
      </c>
      <c r="D22" s="6">
        <f t="shared" ref="D22:D25" si="2">B22*C22</f>
        <v>5</v>
      </c>
      <c r="N22" s="7"/>
      <c r="O22" s="31"/>
      <c r="P22" s="31"/>
      <c r="Q22" s="47"/>
      <c r="R22" s="31"/>
    </row>
    <row r="23" spans="1:18" ht="15.75" customHeight="1">
      <c r="A23" s="12" t="str">
        <f>Referencias!B62</f>
        <v>Frete</v>
      </c>
      <c r="B23" s="12">
        <v>0</v>
      </c>
      <c r="C23" s="6">
        <f>Referencias!F62</f>
        <v>0</v>
      </c>
      <c r="D23" s="6">
        <f t="shared" si="2"/>
        <v>0</v>
      </c>
      <c r="N23" s="7"/>
      <c r="O23" s="31"/>
      <c r="P23" s="31"/>
      <c r="Q23" s="47"/>
      <c r="R23" s="31"/>
    </row>
    <row r="24" spans="1:18" ht="15.75" customHeight="1">
      <c r="A24" s="12" t="str">
        <f>Referencias!B14</f>
        <v>Desgaste Bloquinho/Outros</v>
      </c>
      <c r="B24" s="13">
        <v>1</v>
      </c>
      <c r="C24" s="6">
        <f>Referencias!F14</f>
        <v>0.5</v>
      </c>
      <c r="D24" s="6">
        <f t="shared" si="2"/>
        <v>0.5</v>
      </c>
      <c r="N24" s="7"/>
      <c r="O24" s="31"/>
      <c r="P24" s="31"/>
      <c r="Q24" s="47"/>
      <c r="R24" s="31"/>
    </row>
    <row r="25" spans="1:18" ht="15.75" customHeight="1">
      <c r="A25" s="12" t="str">
        <f>Referencias!B17</f>
        <v>Embalagem Padrão</v>
      </c>
      <c r="B25" s="13">
        <v>1</v>
      </c>
      <c r="C25" s="6">
        <f>Referencias!F17</f>
        <v>1.5</v>
      </c>
      <c r="D25" s="6">
        <f t="shared" si="2"/>
        <v>1.5</v>
      </c>
      <c r="N25" s="7"/>
      <c r="O25" s="31"/>
      <c r="P25" s="31"/>
      <c r="Q25" s="47"/>
      <c r="R25" s="31"/>
    </row>
    <row r="26" spans="1:18" ht="15.75" customHeight="1">
      <c r="A26" s="2" t="s">
        <v>312</v>
      </c>
      <c r="B26" s="12"/>
      <c r="C26" s="10"/>
      <c r="D26" s="3">
        <f>SUM(D22:D25)</f>
        <v>7</v>
      </c>
      <c r="N26" s="7"/>
      <c r="O26" s="31"/>
      <c r="P26" s="31"/>
      <c r="Q26" s="47"/>
      <c r="R26" s="31"/>
    </row>
    <row r="27" spans="1:18" ht="15.75" customHeight="1">
      <c r="A27" s="2" t="s">
        <v>313</v>
      </c>
      <c r="B27" s="15">
        <v>0.55000000000000004</v>
      </c>
      <c r="C27" s="6">
        <f>D26*B27</f>
        <v>3.8500000000000005</v>
      </c>
      <c r="D27" s="3">
        <f>D26+C27</f>
        <v>10.850000000000001</v>
      </c>
      <c r="E27" s="92"/>
      <c r="F27" s="93"/>
      <c r="G27" s="93"/>
      <c r="N27" s="7"/>
      <c r="O27" s="31"/>
      <c r="P27" s="31"/>
      <c r="Q27" s="47"/>
      <c r="R27" s="31"/>
    </row>
    <row r="28" spans="1:18" ht="15.75" customHeight="1">
      <c r="A28" s="2" t="s">
        <v>314</v>
      </c>
      <c r="B28" s="40"/>
      <c r="C28" s="36"/>
      <c r="D28" s="10"/>
      <c r="E28" s="7"/>
      <c r="F28" s="7"/>
      <c r="G28" s="7"/>
      <c r="N28" s="7"/>
      <c r="O28" s="31"/>
      <c r="P28" s="31"/>
      <c r="Q28" s="47"/>
      <c r="R28" s="31"/>
    </row>
    <row r="29" spans="1:18" ht="15.75" customHeight="1">
      <c r="A29" s="2" t="s">
        <v>315</v>
      </c>
      <c r="B29" s="37"/>
      <c r="C29" s="41"/>
      <c r="D29" s="3">
        <v>20</v>
      </c>
      <c r="E29" s="16"/>
      <c r="F29" s="16"/>
      <c r="G29" s="16"/>
      <c r="N29" s="7"/>
      <c r="O29" s="31"/>
      <c r="P29" s="31"/>
      <c r="Q29" s="47"/>
      <c r="R29" s="31"/>
    </row>
    <row r="30" spans="1:18" ht="15.75" customHeight="1">
      <c r="A30" s="25"/>
      <c r="B30" s="25"/>
      <c r="C30" s="25"/>
      <c r="D30" s="61"/>
      <c r="N30" s="7"/>
      <c r="O30" s="31"/>
      <c r="P30" s="31"/>
      <c r="Q30" s="47"/>
      <c r="R30" s="31"/>
    </row>
    <row r="31" spans="1:18" ht="15.75" customHeight="1">
      <c r="A31" s="89" t="s">
        <v>361</v>
      </c>
      <c r="B31" s="90"/>
      <c r="C31" s="91"/>
      <c r="D31" s="11">
        <v>15</v>
      </c>
      <c r="N31" s="7"/>
      <c r="O31" s="31"/>
      <c r="P31" s="31"/>
      <c r="Q31" s="47"/>
      <c r="R31" s="31"/>
    </row>
    <row r="32" spans="1:18" ht="15.75" customHeight="1">
      <c r="A32" s="12" t="str">
        <f>Referencias!B147</f>
        <v>Fralda Cremer 70x70</v>
      </c>
      <c r="B32" s="13">
        <v>1</v>
      </c>
      <c r="C32" s="6">
        <f>Referencias!F147</f>
        <v>7.18</v>
      </c>
      <c r="D32" s="6">
        <f t="shared" ref="D32:D39" si="3">B32*C32</f>
        <v>7.18</v>
      </c>
      <c r="N32" s="7"/>
      <c r="O32" s="31"/>
      <c r="P32" s="31"/>
      <c r="Q32" s="47"/>
      <c r="R32" s="31"/>
    </row>
    <row r="33" spans="1:18" ht="15.75" customHeight="1">
      <c r="A33" s="12" t="str">
        <f>Referencias!B7</f>
        <v>Fio Clea 1000 160g</v>
      </c>
      <c r="B33" s="13">
        <v>25</v>
      </c>
      <c r="C33" s="6">
        <f>Referencias!F7</f>
        <v>0.11</v>
      </c>
      <c r="D33" s="6">
        <f t="shared" si="3"/>
        <v>2.75</v>
      </c>
      <c r="N33" s="7"/>
      <c r="O33" s="31"/>
      <c r="P33" s="31"/>
      <c r="Q33" s="47"/>
      <c r="R33" s="31"/>
    </row>
    <row r="34" spans="1:18" ht="15.75" customHeight="1">
      <c r="A34" s="12" t="str">
        <f>Referencias!B80</f>
        <v>Linha Dinner</v>
      </c>
      <c r="B34" s="13">
        <v>3.5</v>
      </c>
      <c r="C34" s="6">
        <f>Referencias!F80</f>
        <v>0.1</v>
      </c>
      <c r="D34" s="6">
        <f t="shared" si="3"/>
        <v>0.35000000000000003</v>
      </c>
      <c r="N34" s="7"/>
      <c r="O34" s="31"/>
      <c r="P34" s="31"/>
      <c r="Q34" s="47"/>
      <c r="R34" s="31"/>
    </row>
    <row r="35" spans="1:18" ht="15.75" customHeight="1">
      <c r="A35" s="12" t="str">
        <f>Referencias!B82</f>
        <v>Papel Transfer</v>
      </c>
      <c r="B35" s="12">
        <v>0.02</v>
      </c>
      <c r="C35" s="6">
        <f>Referencias!F82</f>
        <v>5.49</v>
      </c>
      <c r="D35" s="6">
        <f t="shared" si="3"/>
        <v>0.10980000000000001</v>
      </c>
      <c r="N35" s="7"/>
      <c r="O35" s="31"/>
      <c r="P35" s="31"/>
      <c r="Q35" s="47"/>
      <c r="R35" s="31"/>
    </row>
    <row r="36" spans="1:18" ht="15.75" customHeight="1">
      <c r="A36" s="12" t="str">
        <f>Referencias!B83</f>
        <v>Impressão A4</v>
      </c>
      <c r="B36" s="12">
        <v>0.02</v>
      </c>
      <c r="C36" s="6">
        <f>Referencias!F83</f>
        <v>0.5</v>
      </c>
      <c r="D36" s="6">
        <f t="shared" si="3"/>
        <v>0.01</v>
      </c>
      <c r="N36" s="7"/>
      <c r="O36" s="31"/>
      <c r="P36" s="31"/>
      <c r="Q36" s="47"/>
      <c r="R36" s="31"/>
    </row>
    <row r="37" spans="1:18" ht="15">
      <c r="A37" s="12" t="str">
        <f>Referencias!B62</f>
        <v>Frete</v>
      </c>
      <c r="B37" s="12"/>
      <c r="C37" s="6">
        <f>Referencias!F62</f>
        <v>0</v>
      </c>
      <c r="D37" s="6">
        <f t="shared" si="3"/>
        <v>0</v>
      </c>
      <c r="N37" s="7"/>
      <c r="O37" s="31"/>
      <c r="P37" s="31"/>
      <c r="Q37" s="47"/>
      <c r="R37" s="31"/>
    </row>
    <row r="38" spans="1:18" ht="15">
      <c r="A38" s="12" t="str">
        <f>Referencias!B14</f>
        <v>Desgaste Bloquinho/Outros</v>
      </c>
      <c r="B38" s="13">
        <v>1</v>
      </c>
      <c r="C38" s="6">
        <f>Referencias!F14</f>
        <v>0.5</v>
      </c>
      <c r="D38" s="6">
        <f t="shared" si="3"/>
        <v>0.5</v>
      </c>
      <c r="N38" s="7"/>
      <c r="O38" s="31"/>
      <c r="P38" s="31"/>
      <c r="Q38" s="47"/>
      <c r="R38" s="31"/>
    </row>
    <row r="39" spans="1:18" ht="15">
      <c r="A39" s="12" t="str">
        <f>Referencias!B17</f>
        <v>Embalagem Padrão</v>
      </c>
      <c r="B39" s="13">
        <v>1</v>
      </c>
      <c r="C39" s="6">
        <f>Referencias!F17</f>
        <v>1.5</v>
      </c>
      <c r="D39" s="6">
        <f t="shared" si="3"/>
        <v>1.5</v>
      </c>
      <c r="N39" s="7"/>
      <c r="O39" s="31"/>
      <c r="P39" s="31"/>
      <c r="Q39" s="47"/>
      <c r="R39" s="31"/>
    </row>
    <row r="40" spans="1:18" ht="15">
      <c r="A40" s="2" t="s">
        <v>312</v>
      </c>
      <c r="B40" s="12"/>
      <c r="C40" s="6"/>
      <c r="D40" s="3">
        <f>SUM(D32:D39)</f>
        <v>12.399799999999999</v>
      </c>
      <c r="N40" s="7"/>
      <c r="O40" s="31"/>
      <c r="P40" s="31"/>
      <c r="Q40" s="47"/>
      <c r="R40" s="31"/>
    </row>
    <row r="41" spans="1:18" ht="15">
      <c r="A41" s="2" t="s">
        <v>313</v>
      </c>
      <c r="B41" s="15">
        <v>0.55000000000000004</v>
      </c>
      <c r="C41" s="6">
        <f>D40*B41</f>
        <v>6.81989</v>
      </c>
      <c r="D41" s="3">
        <f>D40+C41</f>
        <v>19.21969</v>
      </c>
      <c r="E41" s="92"/>
      <c r="F41" s="93"/>
      <c r="G41" s="93"/>
      <c r="N41" s="7"/>
      <c r="O41" s="31"/>
      <c r="P41" s="31"/>
      <c r="Q41" s="47"/>
      <c r="R41" s="31"/>
    </row>
    <row r="42" spans="1:18" ht="15">
      <c r="A42" s="2" t="s">
        <v>314</v>
      </c>
      <c r="B42" s="12"/>
      <c r="C42" s="10"/>
      <c r="D42" s="10"/>
      <c r="E42" s="7"/>
      <c r="F42" s="7"/>
      <c r="G42" s="7"/>
      <c r="N42" s="7"/>
      <c r="O42" s="31"/>
      <c r="P42" s="31"/>
      <c r="Q42" s="47"/>
      <c r="R42" s="31"/>
    </row>
    <row r="43" spans="1:18" ht="15">
      <c r="A43" s="2" t="s">
        <v>315</v>
      </c>
      <c r="B43" s="12"/>
      <c r="C43" s="10"/>
      <c r="D43" s="11">
        <v>15</v>
      </c>
      <c r="E43" s="16"/>
      <c r="F43" s="16"/>
      <c r="G43" s="16"/>
      <c r="N43" s="7"/>
      <c r="O43" s="31"/>
      <c r="P43" s="31"/>
      <c r="Q43" s="47"/>
      <c r="R43" s="31"/>
    </row>
    <row r="44" spans="1:18" ht="15">
      <c r="N44" s="7"/>
      <c r="O44" s="31"/>
      <c r="P44" s="31"/>
      <c r="Q44" s="47"/>
      <c r="R44" s="31"/>
    </row>
    <row r="45" spans="1:18" ht="15">
      <c r="A45" s="89" t="s">
        <v>362</v>
      </c>
      <c r="B45" s="90"/>
      <c r="C45" s="91"/>
      <c r="D45" s="11">
        <v>20</v>
      </c>
      <c r="N45" s="7"/>
      <c r="O45" s="31"/>
      <c r="P45" s="31"/>
      <c r="Q45" s="47"/>
      <c r="R45" s="31"/>
    </row>
    <row r="46" spans="1:18" ht="15">
      <c r="A46" s="12" t="str">
        <f>Referencias!B147</f>
        <v>Fralda Cremer 70x70</v>
      </c>
      <c r="B46" s="13">
        <f t="shared" ref="B46:B50" si="4">B32*12</f>
        <v>12</v>
      </c>
      <c r="C46" s="6">
        <f>Referencias!F147</f>
        <v>7.18</v>
      </c>
      <c r="D46" s="6">
        <f t="shared" ref="D46:D53" si="5">B46*C46</f>
        <v>86.16</v>
      </c>
      <c r="N46" s="7"/>
      <c r="O46" s="31"/>
      <c r="P46" s="31"/>
      <c r="Q46" s="47"/>
      <c r="R46" s="31"/>
    </row>
    <row r="47" spans="1:18" ht="15">
      <c r="A47" s="12" t="str">
        <f>Referencias!B7</f>
        <v>Fio Clea 1000 160g</v>
      </c>
      <c r="B47" s="13">
        <f t="shared" si="4"/>
        <v>300</v>
      </c>
      <c r="C47" s="6">
        <f>Referencias!F7</f>
        <v>0.11</v>
      </c>
      <c r="D47" s="6">
        <f t="shared" si="5"/>
        <v>33</v>
      </c>
      <c r="N47" s="7"/>
      <c r="O47" s="31"/>
      <c r="P47" s="31"/>
      <c r="Q47" s="47"/>
      <c r="R47" s="31"/>
    </row>
    <row r="48" spans="1:18" ht="15">
      <c r="A48" s="12" t="str">
        <f>Referencias!B80</f>
        <v>Linha Dinner</v>
      </c>
      <c r="B48" s="13">
        <f t="shared" si="4"/>
        <v>42</v>
      </c>
      <c r="C48" s="6">
        <f>Referencias!F80</f>
        <v>0.1</v>
      </c>
      <c r="D48" s="6">
        <f t="shared" si="5"/>
        <v>4.2</v>
      </c>
      <c r="N48" s="7"/>
      <c r="O48" s="31"/>
      <c r="P48" s="31"/>
      <c r="Q48" s="47"/>
      <c r="R48" s="31"/>
    </row>
    <row r="49" spans="1:18" ht="15">
      <c r="A49" s="12" t="str">
        <f>Referencias!B82</f>
        <v>Papel Transfer</v>
      </c>
      <c r="B49" s="13">
        <f t="shared" si="4"/>
        <v>0.24</v>
      </c>
      <c r="C49" s="6">
        <f>Referencias!F82</f>
        <v>5.49</v>
      </c>
      <c r="D49" s="6">
        <f t="shared" si="5"/>
        <v>1.3176000000000001</v>
      </c>
      <c r="N49" s="7"/>
      <c r="O49" s="31"/>
      <c r="P49" s="31"/>
      <c r="Q49" s="47"/>
      <c r="R49" s="31"/>
    </row>
    <row r="50" spans="1:18" ht="15">
      <c r="A50" s="12" t="str">
        <f>Referencias!B83</f>
        <v>Impressão A4</v>
      </c>
      <c r="B50" s="13">
        <f t="shared" si="4"/>
        <v>0.24</v>
      </c>
      <c r="C50" s="6">
        <f>Referencias!F83</f>
        <v>0.5</v>
      </c>
      <c r="D50" s="6">
        <f t="shared" si="5"/>
        <v>0.12</v>
      </c>
      <c r="N50" s="7"/>
      <c r="O50" s="31"/>
      <c r="P50" s="31"/>
      <c r="Q50" s="47"/>
      <c r="R50" s="31"/>
    </row>
    <row r="51" spans="1:18" ht="15">
      <c r="A51" s="12" t="str">
        <f>Referencias!B62</f>
        <v>Frete</v>
      </c>
      <c r="B51" s="12"/>
      <c r="C51" s="6">
        <f>Referencias!F62</f>
        <v>0</v>
      </c>
      <c r="D51" s="6">
        <f t="shared" si="5"/>
        <v>0</v>
      </c>
      <c r="N51" s="7"/>
      <c r="O51" s="31"/>
      <c r="P51" s="31"/>
      <c r="Q51" s="47"/>
      <c r="R51" s="31"/>
    </row>
    <row r="52" spans="1:18" ht="15">
      <c r="A52" s="12" t="str">
        <f>Referencias!B14</f>
        <v>Desgaste Bloquinho/Outros</v>
      </c>
      <c r="B52" s="13">
        <v>1</v>
      </c>
      <c r="C52" s="6">
        <f>Referencias!F14</f>
        <v>0.5</v>
      </c>
      <c r="D52" s="6">
        <f t="shared" si="5"/>
        <v>0.5</v>
      </c>
      <c r="N52" s="7"/>
      <c r="O52" s="31"/>
      <c r="P52" s="31"/>
      <c r="Q52" s="47"/>
      <c r="R52" s="31"/>
    </row>
    <row r="53" spans="1:18" ht="15">
      <c r="A53" s="12" t="str">
        <f>Referencias!B17</f>
        <v>Embalagem Padrão</v>
      </c>
      <c r="B53" s="13">
        <v>1</v>
      </c>
      <c r="C53" s="6">
        <f>Referencias!F17</f>
        <v>1.5</v>
      </c>
      <c r="D53" s="6">
        <f t="shared" si="5"/>
        <v>1.5</v>
      </c>
      <c r="N53" s="7"/>
      <c r="O53" s="31"/>
      <c r="P53" s="31"/>
      <c r="Q53" s="47"/>
      <c r="R53" s="31"/>
    </row>
    <row r="54" spans="1:18" ht="15">
      <c r="A54" s="2" t="s">
        <v>312</v>
      </c>
      <c r="B54" s="12"/>
      <c r="C54" s="6"/>
      <c r="D54" s="3">
        <f>SUM(D46:D53)</f>
        <v>126.7976</v>
      </c>
      <c r="N54" s="7"/>
      <c r="O54" s="31"/>
      <c r="P54" s="31"/>
      <c r="Q54" s="47"/>
      <c r="R54" s="31"/>
    </row>
    <row r="55" spans="1:18" ht="15">
      <c r="A55" s="2" t="s">
        <v>313</v>
      </c>
      <c r="B55" s="15">
        <v>0.55000000000000004</v>
      </c>
      <c r="C55" s="6">
        <f>D54*B55</f>
        <v>69.738680000000002</v>
      </c>
      <c r="D55" s="3">
        <f>D54+C55</f>
        <v>196.53628</v>
      </c>
      <c r="E55" s="92"/>
      <c r="F55" s="93"/>
      <c r="G55" s="93"/>
      <c r="N55" s="7"/>
      <c r="O55" s="31"/>
      <c r="P55" s="31"/>
      <c r="Q55" s="47"/>
      <c r="R55" s="31"/>
    </row>
    <row r="56" spans="1:18" ht="15">
      <c r="A56" s="2" t="s">
        <v>314</v>
      </c>
      <c r="B56" s="12"/>
      <c r="C56" s="10"/>
      <c r="D56" s="10"/>
      <c r="E56" s="7"/>
      <c r="F56" s="7"/>
      <c r="G56" s="7"/>
      <c r="N56" s="7"/>
      <c r="O56" s="31"/>
      <c r="P56" s="31"/>
      <c r="Q56" s="47"/>
      <c r="R56" s="31"/>
    </row>
    <row r="57" spans="1:18" ht="15">
      <c r="A57" s="2" t="s">
        <v>315</v>
      </c>
      <c r="B57" s="12"/>
      <c r="C57" s="10"/>
      <c r="D57" s="11">
        <v>20</v>
      </c>
      <c r="E57" s="16"/>
      <c r="F57" s="16"/>
      <c r="G57" s="16"/>
      <c r="N57" s="7"/>
      <c r="O57" s="31"/>
      <c r="P57" s="31"/>
      <c r="Q57" s="47"/>
      <c r="R57" s="31"/>
    </row>
    <row r="58" spans="1:18" ht="15">
      <c r="A58" s="25"/>
      <c r="B58" s="25"/>
      <c r="C58" s="25"/>
      <c r="D58" s="61"/>
      <c r="N58" s="7"/>
      <c r="O58" s="31"/>
      <c r="P58" s="31"/>
      <c r="Q58" s="47"/>
      <c r="R58" s="31"/>
    </row>
    <row r="59" spans="1:18" ht="15">
      <c r="A59" s="89" t="s">
        <v>363</v>
      </c>
      <c r="B59" s="90"/>
      <c r="C59" s="91"/>
      <c r="D59" s="11">
        <v>30</v>
      </c>
      <c r="N59" s="7"/>
      <c r="O59" s="31"/>
      <c r="P59" s="31"/>
      <c r="Q59" s="47"/>
      <c r="R59" s="31"/>
    </row>
    <row r="60" spans="1:18" ht="15">
      <c r="A60" s="12" t="str">
        <f>Referencias!B148</f>
        <v>Toalha Cremer 120x70</v>
      </c>
      <c r="B60" s="13">
        <v>1</v>
      </c>
      <c r="C60" s="6">
        <f>Referencias!F148</f>
        <v>11.63</v>
      </c>
      <c r="D60" s="6">
        <f t="shared" ref="D60:D67" si="6">B60*C60</f>
        <v>11.63</v>
      </c>
      <c r="N60" s="7"/>
      <c r="O60" s="31"/>
      <c r="P60" s="31"/>
      <c r="Q60" s="47"/>
      <c r="R60" s="31"/>
    </row>
    <row r="61" spans="1:18" ht="15">
      <c r="A61" s="12" t="str">
        <f>Referencias!B7</f>
        <v>Fio Clea 1000 160g</v>
      </c>
      <c r="B61" s="13">
        <v>40</v>
      </c>
      <c r="C61" s="6">
        <f>Referencias!F7</f>
        <v>0.11</v>
      </c>
      <c r="D61" s="6">
        <f t="shared" si="6"/>
        <v>4.4000000000000004</v>
      </c>
      <c r="N61" s="7"/>
      <c r="O61" s="31"/>
      <c r="P61" s="31"/>
      <c r="Q61" s="47"/>
      <c r="R61" s="31"/>
    </row>
    <row r="62" spans="1:18" ht="15">
      <c r="A62" s="12" t="str">
        <f>Referencias!B80</f>
        <v>Linha Dinner</v>
      </c>
      <c r="B62" s="13">
        <v>5</v>
      </c>
      <c r="C62" s="6">
        <f>Referencias!F80</f>
        <v>0.1</v>
      </c>
      <c r="D62" s="6">
        <f t="shared" si="6"/>
        <v>0.5</v>
      </c>
      <c r="N62" s="7"/>
      <c r="O62" s="31"/>
      <c r="P62" s="31"/>
      <c r="Q62" s="47"/>
      <c r="R62" s="31"/>
    </row>
    <row r="63" spans="1:18" ht="15">
      <c r="A63" s="12" t="str">
        <f>Referencias!B82</f>
        <v>Papel Transfer</v>
      </c>
      <c r="B63" s="12">
        <v>0.02</v>
      </c>
      <c r="C63" s="6">
        <f>Referencias!F82</f>
        <v>5.49</v>
      </c>
      <c r="D63" s="6">
        <f t="shared" si="6"/>
        <v>0.10980000000000001</v>
      </c>
      <c r="N63" s="7"/>
      <c r="O63" s="31"/>
      <c r="P63" s="31"/>
      <c r="Q63" s="47"/>
      <c r="R63" s="31"/>
    </row>
    <row r="64" spans="1:18" ht="15">
      <c r="A64" s="12" t="str">
        <f>Referencias!B83</f>
        <v>Impressão A4</v>
      </c>
      <c r="B64" s="12">
        <v>0.02</v>
      </c>
      <c r="C64" s="6">
        <f>Referencias!F83</f>
        <v>0.5</v>
      </c>
      <c r="D64" s="6">
        <f t="shared" si="6"/>
        <v>0.01</v>
      </c>
      <c r="N64" s="7"/>
      <c r="O64" s="31"/>
      <c r="P64" s="31"/>
      <c r="Q64" s="47"/>
      <c r="R64" s="31"/>
    </row>
    <row r="65" spans="1:18" ht="15">
      <c r="A65" s="12" t="str">
        <f>Referencias!B62</f>
        <v>Frete</v>
      </c>
      <c r="B65" s="12"/>
      <c r="C65" s="6">
        <f>Referencias!F62</f>
        <v>0</v>
      </c>
      <c r="D65" s="6">
        <f t="shared" si="6"/>
        <v>0</v>
      </c>
      <c r="N65" s="7"/>
      <c r="O65" s="31"/>
      <c r="P65" s="31"/>
      <c r="Q65" s="47"/>
      <c r="R65" s="31"/>
    </row>
    <row r="66" spans="1:18" ht="15">
      <c r="A66" s="12" t="str">
        <f>Referencias!B14</f>
        <v>Desgaste Bloquinho/Outros</v>
      </c>
      <c r="B66" s="13">
        <v>1</v>
      </c>
      <c r="C66" s="6">
        <f>Referencias!F14</f>
        <v>0.5</v>
      </c>
      <c r="D66" s="6">
        <f t="shared" si="6"/>
        <v>0.5</v>
      </c>
      <c r="N66" s="7"/>
      <c r="O66" s="31"/>
      <c r="P66" s="31"/>
      <c r="Q66" s="47"/>
      <c r="R66" s="31"/>
    </row>
    <row r="67" spans="1:18" ht="15">
      <c r="A67" s="12" t="str">
        <f>Referencias!B17</f>
        <v>Embalagem Padrão</v>
      </c>
      <c r="B67" s="13">
        <v>1</v>
      </c>
      <c r="C67" s="6">
        <f>Referencias!F17</f>
        <v>1.5</v>
      </c>
      <c r="D67" s="6">
        <f t="shared" si="6"/>
        <v>1.5</v>
      </c>
      <c r="N67" s="7"/>
      <c r="O67" s="31"/>
      <c r="P67" s="31"/>
      <c r="Q67" s="47"/>
      <c r="R67" s="31"/>
    </row>
    <row r="68" spans="1:18" ht="15">
      <c r="A68" s="2" t="s">
        <v>312</v>
      </c>
      <c r="B68" s="12"/>
      <c r="C68" s="6"/>
      <c r="D68" s="3">
        <f>SUM(D60:D67)</f>
        <v>18.649800000000003</v>
      </c>
      <c r="N68" s="7"/>
      <c r="O68" s="31"/>
      <c r="P68" s="31"/>
      <c r="Q68" s="47"/>
      <c r="R68" s="31"/>
    </row>
    <row r="69" spans="1:18" ht="15">
      <c r="A69" s="2" t="s">
        <v>313</v>
      </c>
      <c r="B69" s="15">
        <v>0.55000000000000004</v>
      </c>
      <c r="C69" s="6">
        <f>D68*B69</f>
        <v>10.257390000000003</v>
      </c>
      <c r="D69" s="3">
        <f>D68+C69</f>
        <v>28.907190000000007</v>
      </c>
      <c r="E69" s="92"/>
      <c r="F69" s="93"/>
      <c r="G69" s="93"/>
      <c r="N69" s="7"/>
      <c r="O69" s="31"/>
      <c r="P69" s="31"/>
      <c r="Q69" s="47"/>
      <c r="R69" s="31"/>
    </row>
    <row r="70" spans="1:18" ht="15">
      <c r="A70" s="2" t="s">
        <v>314</v>
      </c>
      <c r="B70" s="12"/>
      <c r="C70" s="10"/>
      <c r="D70" s="10"/>
      <c r="E70" s="7"/>
      <c r="F70" s="7"/>
      <c r="G70" s="7"/>
      <c r="N70" s="7"/>
      <c r="O70" s="31"/>
      <c r="P70" s="31"/>
      <c r="Q70" s="47"/>
      <c r="R70" s="31"/>
    </row>
    <row r="71" spans="1:18" ht="15">
      <c r="A71" s="2" t="s">
        <v>315</v>
      </c>
      <c r="B71" s="12"/>
      <c r="C71" s="10"/>
      <c r="D71" s="11">
        <v>30</v>
      </c>
      <c r="E71" s="16"/>
      <c r="F71" s="16"/>
      <c r="G71" s="16"/>
      <c r="N71" s="7"/>
      <c r="O71" s="31"/>
      <c r="P71" s="31"/>
      <c r="Q71" s="47"/>
      <c r="R71" s="31"/>
    </row>
    <row r="72" spans="1:18" ht="15">
      <c r="N72" s="7"/>
      <c r="O72" s="31"/>
      <c r="P72" s="31"/>
      <c r="Q72" s="47"/>
      <c r="R72" s="31"/>
    </row>
    <row r="73" spans="1:18" ht="15">
      <c r="A73" s="89" t="s">
        <v>364</v>
      </c>
      <c r="B73" s="90"/>
      <c r="C73" s="91"/>
      <c r="D73" s="11">
        <v>20</v>
      </c>
      <c r="N73" s="7"/>
      <c r="O73" s="31"/>
      <c r="P73" s="31"/>
      <c r="Q73" s="47"/>
      <c r="R73" s="31"/>
    </row>
    <row r="74" spans="1:18" ht="15">
      <c r="A74" s="12" t="str">
        <f>Referencias!B147</f>
        <v>Fralda Cremer 70x70</v>
      </c>
      <c r="B74" s="13">
        <f t="shared" ref="B74:B78" si="7">B60*12</f>
        <v>12</v>
      </c>
      <c r="C74" s="6">
        <f>Referencias!F147</f>
        <v>7.18</v>
      </c>
      <c r="D74" s="6">
        <f t="shared" ref="D74:D81" si="8">B74*C74</f>
        <v>86.16</v>
      </c>
      <c r="N74" s="7"/>
      <c r="O74" s="31"/>
      <c r="P74" s="31"/>
      <c r="Q74" s="47"/>
      <c r="R74" s="31"/>
    </row>
    <row r="75" spans="1:18" ht="15">
      <c r="A75" s="12" t="str">
        <f>Referencias!B7</f>
        <v>Fio Clea 1000 160g</v>
      </c>
      <c r="B75" s="13">
        <f t="shared" si="7"/>
        <v>480</v>
      </c>
      <c r="C75" s="6">
        <f>Referencias!F7</f>
        <v>0.11</v>
      </c>
      <c r="D75" s="6">
        <f t="shared" si="8"/>
        <v>52.8</v>
      </c>
      <c r="N75" s="7"/>
      <c r="O75" s="31"/>
      <c r="P75" s="31"/>
      <c r="Q75" s="47"/>
      <c r="R75" s="31"/>
    </row>
    <row r="76" spans="1:18" ht="15">
      <c r="A76" s="12" t="str">
        <f>Referencias!B80</f>
        <v>Linha Dinner</v>
      </c>
      <c r="B76" s="13">
        <f t="shared" si="7"/>
        <v>60</v>
      </c>
      <c r="C76" s="6">
        <f>Referencias!F80</f>
        <v>0.1</v>
      </c>
      <c r="D76" s="6">
        <f t="shared" si="8"/>
        <v>6</v>
      </c>
      <c r="N76" s="7"/>
      <c r="O76" s="31"/>
      <c r="P76" s="31"/>
      <c r="Q76" s="47"/>
      <c r="R76" s="31"/>
    </row>
    <row r="77" spans="1:18" ht="15">
      <c r="A77" s="12" t="str">
        <f>Referencias!B82</f>
        <v>Papel Transfer</v>
      </c>
      <c r="B77" s="13">
        <f t="shared" si="7"/>
        <v>0.24</v>
      </c>
      <c r="C77" s="6">
        <f>Referencias!F82</f>
        <v>5.49</v>
      </c>
      <c r="D77" s="6">
        <f t="shared" si="8"/>
        <v>1.3176000000000001</v>
      </c>
      <c r="N77" s="7"/>
      <c r="O77" s="31"/>
      <c r="P77" s="31"/>
      <c r="Q77" s="47"/>
      <c r="R77" s="31"/>
    </row>
    <row r="78" spans="1:18" ht="15">
      <c r="A78" s="12" t="str">
        <f>Referencias!B83</f>
        <v>Impressão A4</v>
      </c>
      <c r="B78" s="13">
        <f t="shared" si="7"/>
        <v>0.24</v>
      </c>
      <c r="C78" s="6">
        <f>Referencias!F83</f>
        <v>0.5</v>
      </c>
      <c r="D78" s="6">
        <f t="shared" si="8"/>
        <v>0.12</v>
      </c>
      <c r="N78" s="7"/>
      <c r="O78" s="31"/>
      <c r="P78" s="31"/>
      <c r="Q78" s="47"/>
      <c r="R78" s="31"/>
    </row>
    <row r="79" spans="1:18" ht="15">
      <c r="A79" s="12" t="str">
        <f>Referencias!B62</f>
        <v>Frete</v>
      </c>
      <c r="B79" s="12"/>
      <c r="C79" s="6">
        <f>Referencias!F62</f>
        <v>0</v>
      </c>
      <c r="D79" s="6">
        <f t="shared" si="8"/>
        <v>0</v>
      </c>
      <c r="N79" s="7"/>
      <c r="O79" s="31"/>
      <c r="P79" s="31"/>
      <c r="Q79" s="47"/>
      <c r="R79" s="31"/>
    </row>
    <row r="80" spans="1:18" ht="15">
      <c r="A80" s="12" t="str">
        <f>Referencias!B14</f>
        <v>Desgaste Bloquinho/Outros</v>
      </c>
      <c r="B80" s="13">
        <v>1</v>
      </c>
      <c r="C80" s="6">
        <f>Referencias!F14</f>
        <v>0.5</v>
      </c>
      <c r="D80" s="6">
        <f t="shared" si="8"/>
        <v>0.5</v>
      </c>
      <c r="N80" s="7"/>
      <c r="O80" s="31"/>
      <c r="P80" s="31"/>
      <c r="Q80" s="47"/>
      <c r="R80" s="31"/>
    </row>
    <row r="81" spans="1:18" ht="15">
      <c r="A81" s="12" t="str">
        <f>Referencias!B17</f>
        <v>Embalagem Padrão</v>
      </c>
      <c r="B81" s="13">
        <v>1</v>
      </c>
      <c r="C81" s="6">
        <f>Referencias!F17</f>
        <v>1.5</v>
      </c>
      <c r="D81" s="6">
        <f t="shared" si="8"/>
        <v>1.5</v>
      </c>
      <c r="N81" s="7"/>
      <c r="O81" s="31"/>
      <c r="P81" s="31"/>
      <c r="Q81" s="47"/>
      <c r="R81" s="31"/>
    </row>
    <row r="82" spans="1:18" ht="15">
      <c r="A82" s="2" t="s">
        <v>312</v>
      </c>
      <c r="B82" s="12"/>
      <c r="C82" s="6"/>
      <c r="D82" s="3">
        <f>SUM(D74:D81)</f>
        <v>148.39759999999998</v>
      </c>
      <c r="N82" s="7"/>
      <c r="O82" s="31"/>
      <c r="P82" s="31"/>
      <c r="Q82" s="47"/>
      <c r="R82" s="31"/>
    </row>
    <row r="83" spans="1:18" ht="15">
      <c r="A83" s="2" t="s">
        <v>313</v>
      </c>
      <c r="B83" s="15">
        <v>0.55000000000000004</v>
      </c>
      <c r="C83" s="6">
        <f>D82*B83</f>
        <v>81.618679999999998</v>
      </c>
      <c r="D83" s="3">
        <f>D82+C83</f>
        <v>230.01627999999999</v>
      </c>
      <c r="E83" s="92"/>
      <c r="F83" s="93"/>
      <c r="G83" s="93"/>
      <c r="N83" s="7"/>
      <c r="O83" s="31"/>
      <c r="P83" s="31"/>
      <c r="Q83" s="47"/>
      <c r="R83" s="31"/>
    </row>
    <row r="84" spans="1:18" ht="15">
      <c r="A84" s="2" t="s">
        <v>314</v>
      </c>
      <c r="B84" s="12"/>
      <c r="C84" s="10"/>
      <c r="D84" s="10"/>
      <c r="E84" s="7"/>
      <c r="F84" s="7"/>
      <c r="G84" s="7"/>
      <c r="N84" s="7"/>
      <c r="O84" s="31"/>
      <c r="P84" s="31"/>
      <c r="Q84" s="47"/>
      <c r="R84" s="31"/>
    </row>
    <row r="85" spans="1:18" ht="15">
      <c r="A85" s="2" t="s">
        <v>315</v>
      </c>
      <c r="B85" s="12"/>
      <c r="C85" s="10"/>
      <c r="D85" s="11">
        <v>20</v>
      </c>
      <c r="E85" s="16"/>
      <c r="F85" s="16"/>
      <c r="G85" s="16"/>
      <c r="N85" s="7"/>
      <c r="O85" s="31"/>
      <c r="P85" s="31"/>
      <c r="Q85" s="47"/>
      <c r="R85" s="31"/>
    </row>
    <row r="87" spans="1:18" ht="15">
      <c r="A87" s="89" t="s">
        <v>365</v>
      </c>
      <c r="B87" s="90"/>
      <c r="C87" s="91"/>
      <c r="D87" s="11">
        <v>10</v>
      </c>
      <c r="I87" s="14"/>
    </row>
    <row r="88" spans="1:18" ht="15">
      <c r="A88" s="12" t="str">
        <f>Referencias!B147</f>
        <v>Fralda Cremer 70x70</v>
      </c>
      <c r="B88" s="13">
        <v>0.25</v>
      </c>
      <c r="C88" s="6">
        <f>Referencias!F147</f>
        <v>7.18</v>
      </c>
      <c r="D88" s="6">
        <f t="shared" ref="D88:D95" si="9">B88*C88</f>
        <v>1.7949999999999999</v>
      </c>
    </row>
    <row r="89" spans="1:18" ht="15">
      <c r="A89" s="12" t="str">
        <f>Referencias!B7</f>
        <v>Fio Clea 1000 160g</v>
      </c>
      <c r="B89" s="13">
        <v>25</v>
      </c>
      <c r="C89" s="6">
        <f>Referencias!F7</f>
        <v>0.11</v>
      </c>
      <c r="D89" s="6">
        <f t="shared" si="9"/>
        <v>2.75</v>
      </c>
    </row>
    <row r="90" spans="1:18" ht="15">
      <c r="A90" s="12" t="str">
        <f>Referencias!B80</f>
        <v>Linha Dinner</v>
      </c>
      <c r="B90" s="13">
        <v>1</v>
      </c>
      <c r="C90" s="6">
        <f>Referencias!F80</f>
        <v>0.1</v>
      </c>
      <c r="D90" s="6">
        <f t="shared" si="9"/>
        <v>0.1</v>
      </c>
    </row>
    <row r="91" spans="1:18" ht="15">
      <c r="A91" s="12" t="str">
        <f>Referencias!B82</f>
        <v>Papel Transfer</v>
      </c>
      <c r="B91" s="12">
        <v>0.02</v>
      </c>
      <c r="C91" s="6">
        <f>Referencias!F82</f>
        <v>5.49</v>
      </c>
      <c r="D91" s="6">
        <f t="shared" si="9"/>
        <v>0.10980000000000001</v>
      </c>
    </row>
    <row r="92" spans="1:18" ht="15">
      <c r="A92" s="12" t="str">
        <f>Referencias!B83</f>
        <v>Impressão A4</v>
      </c>
      <c r="B92" s="12">
        <v>0.02</v>
      </c>
      <c r="C92" s="6">
        <f>Referencias!F83</f>
        <v>0.5</v>
      </c>
      <c r="D92" s="6">
        <f t="shared" si="9"/>
        <v>0.01</v>
      </c>
    </row>
    <row r="93" spans="1:18" ht="15">
      <c r="A93" s="12" t="str">
        <f>Referencias!B62</f>
        <v>Frete</v>
      </c>
      <c r="B93" s="12"/>
      <c r="C93" s="6">
        <f>Referencias!F62</f>
        <v>0</v>
      </c>
      <c r="D93" s="6">
        <f t="shared" si="9"/>
        <v>0</v>
      </c>
    </row>
    <row r="94" spans="1:18" ht="15">
      <c r="A94" s="12" t="str">
        <f>Referencias!B14</f>
        <v>Desgaste Bloquinho/Outros</v>
      </c>
      <c r="B94" s="13">
        <v>1</v>
      </c>
      <c r="C94" s="6">
        <f>Referencias!F14</f>
        <v>0.5</v>
      </c>
      <c r="D94" s="6">
        <f t="shared" si="9"/>
        <v>0.5</v>
      </c>
    </row>
    <row r="95" spans="1:18" ht="15">
      <c r="A95" s="12" t="str">
        <f>Referencias!B17</f>
        <v>Embalagem Padrão</v>
      </c>
      <c r="B95" s="13">
        <v>1</v>
      </c>
      <c r="C95" s="6">
        <f>Referencias!F17</f>
        <v>1.5</v>
      </c>
      <c r="D95" s="6">
        <f t="shared" si="9"/>
        <v>1.5</v>
      </c>
    </row>
    <row r="96" spans="1:18" ht="15">
      <c r="A96" s="2" t="s">
        <v>312</v>
      </c>
      <c r="B96" s="12"/>
      <c r="C96" s="6"/>
      <c r="D96" s="3">
        <f>SUM(D88:D95)</f>
        <v>6.7647999999999993</v>
      </c>
    </row>
    <row r="97" spans="1:7" ht="15">
      <c r="A97" s="2" t="s">
        <v>313</v>
      </c>
      <c r="B97" s="15">
        <v>0.55000000000000004</v>
      </c>
      <c r="C97" s="6">
        <f>D96*B97</f>
        <v>3.7206399999999999</v>
      </c>
      <c r="D97" s="3">
        <f>D96+C97</f>
        <v>10.485439999999999</v>
      </c>
      <c r="E97" s="92"/>
      <c r="F97" s="93"/>
      <c r="G97" s="93"/>
    </row>
    <row r="98" spans="1:7" ht="15">
      <c r="A98" s="2" t="s">
        <v>314</v>
      </c>
      <c r="B98" s="12"/>
      <c r="C98" s="10"/>
      <c r="D98" s="10"/>
      <c r="E98" s="7"/>
      <c r="F98" s="7"/>
      <c r="G98" s="7"/>
    </row>
    <row r="99" spans="1:7" ht="15">
      <c r="A99" s="2" t="s">
        <v>315</v>
      </c>
      <c r="B99" s="12"/>
      <c r="C99" s="10"/>
      <c r="D99" s="11">
        <v>10</v>
      </c>
      <c r="E99" s="16"/>
      <c r="F99" s="16"/>
      <c r="G99" s="16"/>
    </row>
    <row r="101" spans="1:7" ht="15">
      <c r="A101" s="89" t="s">
        <v>366</v>
      </c>
      <c r="B101" s="90"/>
      <c r="C101" s="91"/>
      <c r="D101" s="62">
        <v>25</v>
      </c>
      <c r="E101" s="18"/>
      <c r="F101" s="18"/>
      <c r="G101" s="18"/>
    </row>
    <row r="102" spans="1:7" ht="15">
      <c r="A102" s="19" t="str">
        <f>Referencias!B12</f>
        <v>Pano de Prato Atoalhado</v>
      </c>
      <c r="B102" s="26">
        <v>1</v>
      </c>
      <c r="C102" s="21">
        <f>Referencias!F12</f>
        <v>7.03</v>
      </c>
      <c r="D102" s="21">
        <f t="shared" ref="D102:D106" si="10">B102*C102</f>
        <v>7.03</v>
      </c>
      <c r="E102" s="18"/>
      <c r="F102" s="18"/>
      <c r="G102" s="18"/>
    </row>
    <row r="103" spans="1:7" ht="15">
      <c r="A103" s="19" t="str">
        <f>Referencias!B105</f>
        <v>Fio Anne 500 147g</v>
      </c>
      <c r="B103" s="26">
        <v>40</v>
      </c>
      <c r="C103" s="21">
        <f>Referencias!F105</f>
        <v>0.12</v>
      </c>
      <c r="D103" s="21">
        <f t="shared" si="10"/>
        <v>4.8</v>
      </c>
      <c r="E103" s="18"/>
      <c r="F103" s="18"/>
      <c r="G103" s="18"/>
    </row>
    <row r="104" spans="1:7" ht="15">
      <c r="A104" s="19" t="str">
        <f>Referencias!B62</f>
        <v>Frete</v>
      </c>
      <c r="B104" s="27"/>
      <c r="C104" s="21">
        <f>Referencias!F62</f>
        <v>0</v>
      </c>
      <c r="D104" s="21">
        <f t="shared" si="10"/>
        <v>0</v>
      </c>
      <c r="E104" s="18"/>
      <c r="F104" s="18"/>
      <c r="G104" s="18"/>
    </row>
    <row r="105" spans="1:7" ht="15">
      <c r="A105" s="19" t="str">
        <f>Referencias!B14</f>
        <v>Desgaste Bloquinho/Outros</v>
      </c>
      <c r="B105" s="26">
        <v>1</v>
      </c>
      <c r="C105" s="21">
        <f>Referencias!F14</f>
        <v>0.5</v>
      </c>
      <c r="D105" s="21">
        <f t="shared" si="10"/>
        <v>0.5</v>
      </c>
      <c r="E105" s="18"/>
      <c r="F105" s="18"/>
      <c r="G105" s="18"/>
    </row>
    <row r="106" spans="1:7" ht="15">
      <c r="A106" s="19" t="str">
        <f>Referencias!B17</f>
        <v>Embalagem Padrão</v>
      </c>
      <c r="B106" s="26">
        <v>1</v>
      </c>
      <c r="C106" s="21">
        <f>Referencias!F17</f>
        <v>1.5</v>
      </c>
      <c r="D106" s="21">
        <f t="shared" si="10"/>
        <v>1.5</v>
      </c>
      <c r="E106" s="18"/>
      <c r="F106" s="18"/>
      <c r="G106" s="18"/>
    </row>
    <row r="107" spans="1:7" ht="15">
      <c r="A107" s="22" t="s">
        <v>312</v>
      </c>
      <c r="B107" s="27"/>
      <c r="C107" s="28"/>
      <c r="D107" s="23">
        <f>SUM(D102:D106)</f>
        <v>13.83</v>
      </c>
      <c r="E107" s="18"/>
      <c r="F107" s="18"/>
      <c r="G107" s="18"/>
    </row>
    <row r="108" spans="1:7" ht="15">
      <c r="A108" s="22" t="s">
        <v>313</v>
      </c>
      <c r="B108" s="24">
        <v>0.55000000000000004</v>
      </c>
      <c r="C108" s="21">
        <f>D107*B108</f>
        <v>7.6065000000000005</v>
      </c>
      <c r="D108" s="23">
        <f>D107+C108</f>
        <v>21.436500000000002</v>
      </c>
      <c r="E108" s="94"/>
      <c r="F108" s="93"/>
      <c r="G108" s="93"/>
    </row>
    <row r="109" spans="1:7" ht="15">
      <c r="A109" s="22" t="s">
        <v>314</v>
      </c>
      <c r="B109" s="27"/>
      <c r="C109" s="27"/>
      <c r="D109" s="27"/>
      <c r="E109" s="31"/>
      <c r="F109" s="31"/>
      <c r="G109" s="31"/>
    </row>
    <row r="110" spans="1:7" ht="15">
      <c r="A110" s="22" t="s">
        <v>315</v>
      </c>
      <c r="B110" s="27"/>
      <c r="C110" s="27"/>
      <c r="D110" s="62">
        <v>25</v>
      </c>
      <c r="E110" s="34"/>
      <c r="F110" s="34"/>
      <c r="G110" s="34"/>
    </row>
    <row r="112" spans="1:7" ht="15">
      <c r="A112" s="89" t="s">
        <v>367</v>
      </c>
      <c r="B112" s="90"/>
      <c r="C112" s="91"/>
      <c r="D112" s="62">
        <v>20</v>
      </c>
      <c r="E112" s="18"/>
      <c r="F112" s="18"/>
      <c r="G112" s="18"/>
    </row>
    <row r="113" spans="1:7" ht="15">
      <c r="A113" s="19" t="str">
        <f>Referencias!B12</f>
        <v>Pano de Prato Atoalhado</v>
      </c>
      <c r="B113" s="26">
        <v>1</v>
      </c>
      <c r="C113" s="21">
        <f>Referencias!F12</f>
        <v>7.03</v>
      </c>
      <c r="D113" s="21">
        <f t="shared" ref="D113:D117" si="11">B113*C113</f>
        <v>7.03</v>
      </c>
      <c r="E113" s="18"/>
      <c r="F113" s="18"/>
      <c r="G113" s="18"/>
    </row>
    <row r="114" spans="1:7" ht="15">
      <c r="A114" s="19" t="str">
        <f>Referencias!B105</f>
        <v>Fio Anne 500 147g</v>
      </c>
      <c r="B114" s="26">
        <v>30</v>
      </c>
      <c r="C114" s="21">
        <f>Referencias!F105</f>
        <v>0.12</v>
      </c>
      <c r="D114" s="21">
        <f t="shared" si="11"/>
        <v>3.5999999999999996</v>
      </c>
      <c r="E114" s="18"/>
      <c r="F114" s="18"/>
      <c r="G114" s="18"/>
    </row>
    <row r="115" spans="1:7" ht="15">
      <c r="A115" s="19" t="str">
        <f>Referencias!B62</f>
        <v>Frete</v>
      </c>
      <c r="B115" s="27"/>
      <c r="C115" s="21">
        <f>Referencias!F62</f>
        <v>0</v>
      </c>
      <c r="D115" s="21">
        <f t="shared" si="11"/>
        <v>0</v>
      </c>
      <c r="E115" s="18"/>
      <c r="F115" s="18"/>
      <c r="G115" s="18"/>
    </row>
    <row r="116" spans="1:7" ht="15">
      <c r="A116" s="19" t="str">
        <f>Referencias!B14</f>
        <v>Desgaste Bloquinho/Outros</v>
      </c>
      <c r="B116" s="26">
        <v>1</v>
      </c>
      <c r="C116" s="21">
        <f>Referencias!F14</f>
        <v>0.5</v>
      </c>
      <c r="D116" s="21">
        <f t="shared" si="11"/>
        <v>0.5</v>
      </c>
      <c r="E116" s="18"/>
      <c r="F116" s="18"/>
      <c r="G116" s="18"/>
    </row>
    <row r="117" spans="1:7" ht="15">
      <c r="A117" s="19" t="str">
        <f>Referencias!B17</f>
        <v>Embalagem Padrão</v>
      </c>
      <c r="B117" s="26">
        <v>1</v>
      </c>
      <c r="C117" s="21">
        <f>Referencias!F17</f>
        <v>1.5</v>
      </c>
      <c r="D117" s="21">
        <f t="shared" si="11"/>
        <v>1.5</v>
      </c>
      <c r="E117" s="18"/>
      <c r="F117" s="18"/>
      <c r="G117" s="18"/>
    </row>
    <row r="118" spans="1:7" ht="15">
      <c r="A118" s="22" t="s">
        <v>312</v>
      </c>
      <c r="B118" s="27"/>
      <c r="C118" s="28"/>
      <c r="D118" s="23">
        <f>SUM(D113:D117)</f>
        <v>12.629999999999999</v>
      </c>
      <c r="E118" s="18"/>
      <c r="F118" s="18"/>
      <c r="G118" s="18"/>
    </row>
    <row r="119" spans="1:7" ht="15">
      <c r="A119" s="22" t="s">
        <v>313</v>
      </c>
      <c r="B119" s="24">
        <v>0.55000000000000004</v>
      </c>
      <c r="C119" s="21">
        <f>D118*B119</f>
        <v>6.9465000000000003</v>
      </c>
      <c r="D119" s="23">
        <f>D118+C119</f>
        <v>19.576499999999999</v>
      </c>
      <c r="E119" s="94"/>
      <c r="F119" s="93"/>
      <c r="G119" s="93"/>
    </row>
    <row r="120" spans="1:7" ht="15">
      <c r="A120" s="22" t="s">
        <v>314</v>
      </c>
      <c r="B120" s="27"/>
      <c r="C120" s="27"/>
      <c r="D120" s="27"/>
      <c r="E120" s="31"/>
      <c r="F120" s="31"/>
      <c r="G120" s="31"/>
    </row>
    <row r="121" spans="1:7" ht="15">
      <c r="A121" s="22" t="s">
        <v>315</v>
      </c>
      <c r="B121" s="27"/>
      <c r="C121" s="27"/>
      <c r="D121" s="62">
        <v>20</v>
      </c>
      <c r="E121" s="34"/>
      <c r="F121" s="34"/>
      <c r="G121" s="34"/>
    </row>
    <row r="123" spans="1:7" ht="15">
      <c r="A123" s="89" t="s">
        <v>365</v>
      </c>
      <c r="B123" s="90"/>
      <c r="C123" s="91"/>
      <c r="D123" s="11">
        <v>10</v>
      </c>
    </row>
    <row r="124" spans="1:7" ht="15">
      <c r="A124" s="12" t="str">
        <f>Referencias!B147</f>
        <v>Fralda Cremer 70x70</v>
      </c>
      <c r="B124" s="13">
        <v>1</v>
      </c>
      <c r="C124" s="6">
        <v>8.34</v>
      </c>
      <c r="D124" s="6">
        <f t="shared" ref="D124:D131" si="12">B124*C124</f>
        <v>8.34</v>
      </c>
    </row>
    <row r="125" spans="1:7" ht="15">
      <c r="A125" s="12" t="str">
        <f>Referencias!B7</f>
        <v>Fio Clea 1000 160g</v>
      </c>
      <c r="B125" s="13">
        <v>25</v>
      </c>
      <c r="C125" s="6">
        <f>Referencias!F7</f>
        <v>0.11</v>
      </c>
      <c r="D125" s="6">
        <f t="shared" si="12"/>
        <v>2.75</v>
      </c>
    </row>
    <row r="126" spans="1:7" ht="15">
      <c r="A126" s="12" t="str">
        <f>Referencias!B80</f>
        <v>Linha Dinner</v>
      </c>
      <c r="B126" s="13">
        <v>1</v>
      </c>
      <c r="C126" s="6">
        <f>Referencias!F80</f>
        <v>0.1</v>
      </c>
      <c r="D126" s="6">
        <f t="shared" si="12"/>
        <v>0.1</v>
      </c>
    </row>
    <row r="127" spans="1:7" ht="15">
      <c r="A127" s="12" t="str">
        <f>Referencias!B82</f>
        <v>Papel Transfer</v>
      </c>
      <c r="B127" s="12">
        <v>0.02</v>
      </c>
      <c r="C127" s="6">
        <f>Referencias!F82</f>
        <v>5.49</v>
      </c>
      <c r="D127" s="6">
        <f t="shared" si="12"/>
        <v>0.10980000000000001</v>
      </c>
    </row>
    <row r="128" spans="1:7" ht="15">
      <c r="A128" s="12" t="str">
        <f>Referencias!B83</f>
        <v>Impressão A4</v>
      </c>
      <c r="B128" s="12">
        <v>0.02</v>
      </c>
      <c r="C128" s="6">
        <f>Referencias!F83</f>
        <v>0.5</v>
      </c>
      <c r="D128" s="6">
        <f t="shared" si="12"/>
        <v>0.01</v>
      </c>
    </row>
    <row r="129" spans="1:7" ht="15">
      <c r="A129" s="12" t="str">
        <f>Referencias!B62</f>
        <v>Frete</v>
      </c>
      <c r="B129" s="12"/>
      <c r="C129" s="6">
        <f>Referencias!F62</f>
        <v>0</v>
      </c>
      <c r="D129" s="6">
        <f t="shared" si="12"/>
        <v>0</v>
      </c>
    </row>
    <row r="130" spans="1:7" ht="15">
      <c r="A130" s="12" t="str">
        <f>Referencias!B14</f>
        <v>Desgaste Bloquinho/Outros</v>
      </c>
      <c r="B130" s="13">
        <v>1</v>
      </c>
      <c r="C130" s="6">
        <f>Referencias!F14</f>
        <v>0.5</v>
      </c>
      <c r="D130" s="6">
        <f t="shared" si="12"/>
        <v>0.5</v>
      </c>
    </row>
    <row r="131" spans="1:7" ht="15">
      <c r="A131" s="12" t="str">
        <f>Referencias!B17</f>
        <v>Embalagem Padrão</v>
      </c>
      <c r="B131" s="13">
        <v>1</v>
      </c>
      <c r="C131" s="6">
        <f>Referencias!F17</f>
        <v>1.5</v>
      </c>
      <c r="D131" s="6">
        <f t="shared" si="12"/>
        <v>1.5</v>
      </c>
    </row>
    <row r="132" spans="1:7" ht="15">
      <c r="A132" s="2" t="s">
        <v>312</v>
      </c>
      <c r="B132" s="12"/>
      <c r="C132" s="6"/>
      <c r="D132" s="3">
        <f>SUM(D124:D131)</f>
        <v>13.309799999999999</v>
      </c>
    </row>
    <row r="133" spans="1:7" ht="15">
      <c r="A133" s="2" t="s">
        <v>313</v>
      </c>
      <c r="B133" s="15">
        <v>0.55000000000000004</v>
      </c>
      <c r="C133" s="6">
        <f>D132*B133</f>
        <v>7.3203899999999997</v>
      </c>
      <c r="D133" s="3">
        <f>D132+C133</f>
        <v>20.630189999999999</v>
      </c>
      <c r="E133" s="92"/>
      <c r="F133" s="93"/>
      <c r="G133" s="93"/>
    </row>
    <row r="134" spans="1:7" ht="15">
      <c r="A134" s="2" t="s">
        <v>314</v>
      </c>
      <c r="B134" s="12"/>
      <c r="C134" s="10"/>
      <c r="D134" s="10"/>
      <c r="E134" s="7"/>
      <c r="F134" s="7"/>
      <c r="G134" s="7"/>
    </row>
    <row r="135" spans="1:7" ht="15">
      <c r="A135" s="2" t="s">
        <v>315</v>
      </c>
      <c r="B135" s="12"/>
      <c r="C135" s="10"/>
      <c r="D135" s="11">
        <v>10</v>
      </c>
      <c r="E135" s="16"/>
      <c r="F135" s="16"/>
      <c r="G135" s="16"/>
    </row>
    <row r="137" spans="1:7" ht="15">
      <c r="A137" s="89" t="s">
        <v>368</v>
      </c>
      <c r="B137" s="90"/>
      <c r="C137" s="91"/>
      <c r="D137" s="11">
        <v>35</v>
      </c>
    </row>
    <row r="138" spans="1:7" ht="15">
      <c r="A138" s="12" t="str">
        <f>Referencias!B203</f>
        <v>Barbante Bandeirantes nº 8</v>
      </c>
      <c r="B138" s="13">
        <v>235</v>
      </c>
      <c r="C138" s="6">
        <f>Referencias!F203</f>
        <v>0.03</v>
      </c>
      <c r="D138" s="6">
        <f t="shared" ref="D138:D141" si="13">B138*C138</f>
        <v>7.05</v>
      </c>
    </row>
    <row r="139" spans="1:7" ht="15">
      <c r="A139" s="12" t="str">
        <f>Referencias!B62</f>
        <v>Frete</v>
      </c>
      <c r="B139" s="13">
        <v>0</v>
      </c>
      <c r="C139" s="6">
        <f>Referencias!F62</f>
        <v>0</v>
      </c>
      <c r="D139" s="6">
        <f t="shared" si="13"/>
        <v>0</v>
      </c>
    </row>
    <row r="140" spans="1:7" ht="15">
      <c r="A140" s="12" t="str">
        <f>Referencias!B14</f>
        <v>Desgaste Bloquinho/Outros</v>
      </c>
      <c r="B140" s="13">
        <v>1</v>
      </c>
      <c r="C140" s="6">
        <f>Referencias!F14</f>
        <v>0.5</v>
      </c>
      <c r="D140" s="6">
        <f t="shared" si="13"/>
        <v>0.5</v>
      </c>
    </row>
    <row r="141" spans="1:7" ht="15">
      <c r="A141" s="12" t="str">
        <f>Referencias!B17</f>
        <v>Embalagem Padrão</v>
      </c>
      <c r="B141" s="12">
        <v>1</v>
      </c>
      <c r="C141" s="6">
        <f>Referencias!F17</f>
        <v>1.5</v>
      </c>
      <c r="D141" s="6">
        <f t="shared" si="13"/>
        <v>1.5</v>
      </c>
    </row>
    <row r="142" spans="1:7" ht="15">
      <c r="A142" s="2" t="s">
        <v>312</v>
      </c>
      <c r="B142" s="12"/>
      <c r="C142" s="6"/>
      <c r="D142" s="3">
        <f>SUM(D138:D141)</f>
        <v>9.0500000000000007</v>
      </c>
    </row>
    <row r="143" spans="1:7" ht="15">
      <c r="A143" s="2" t="s">
        <v>313</v>
      </c>
      <c r="B143" s="15">
        <v>0.55000000000000004</v>
      </c>
      <c r="C143" s="6">
        <f>D142*B143</f>
        <v>4.9775000000000009</v>
      </c>
      <c r="D143" s="3">
        <f>D142+C143</f>
        <v>14.027500000000002</v>
      </c>
      <c r="E143" s="92"/>
      <c r="F143" s="93"/>
      <c r="G143" s="93"/>
    </row>
    <row r="144" spans="1:7" ht="15">
      <c r="A144" s="2" t="s">
        <v>314</v>
      </c>
      <c r="B144" s="12"/>
      <c r="C144" s="10"/>
      <c r="D144" s="10"/>
      <c r="E144" s="7"/>
      <c r="F144" s="7"/>
      <c r="G144" s="7"/>
    </row>
    <row r="145" spans="1:7" ht="15">
      <c r="A145" s="2" t="s">
        <v>315</v>
      </c>
      <c r="B145" s="12">
        <v>30</v>
      </c>
      <c r="C145" s="10">
        <v>40</v>
      </c>
      <c r="D145" s="11">
        <v>35</v>
      </c>
      <c r="E145" s="16"/>
      <c r="F145" s="16"/>
      <c r="G145" s="16"/>
    </row>
  </sheetData>
  <mergeCells count="24">
    <mergeCell ref="A1:C1"/>
    <mergeCell ref="E7:G7"/>
    <mergeCell ref="A11:C11"/>
    <mergeCell ref="E17:G17"/>
    <mergeCell ref="A21:C21"/>
    <mergeCell ref="E27:G27"/>
    <mergeCell ref="A31:C31"/>
    <mergeCell ref="E41:G41"/>
    <mergeCell ref="A45:C45"/>
    <mergeCell ref="E55:G55"/>
    <mergeCell ref="A59:C59"/>
    <mergeCell ref="E69:G69"/>
    <mergeCell ref="A73:C73"/>
    <mergeCell ref="A87:C87"/>
    <mergeCell ref="E133:G133"/>
    <mergeCell ref="A137:C137"/>
    <mergeCell ref="E143:G143"/>
    <mergeCell ref="E83:G83"/>
    <mergeCell ref="E97:G97"/>
    <mergeCell ref="A101:C101"/>
    <mergeCell ref="E108:G108"/>
    <mergeCell ref="A112:C112"/>
    <mergeCell ref="E119:G119"/>
    <mergeCell ref="A123:C12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</sheetPr>
  <dimension ref="A1:G73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7" ht="15.75" customHeight="1">
      <c r="A1" s="89" t="s">
        <v>369</v>
      </c>
      <c r="B1" s="90"/>
      <c r="C1" s="91"/>
      <c r="D1" s="3">
        <v>84</v>
      </c>
    </row>
    <row r="2" spans="1:7" ht="15.75" customHeight="1">
      <c r="A2" s="12" t="str">
        <f>Referencias!B53</f>
        <v>Papel fotografico A4</v>
      </c>
      <c r="B2" s="13">
        <v>9</v>
      </c>
      <c r="C2" s="6">
        <f>Referencias!F53</f>
        <v>0.8</v>
      </c>
      <c r="D2" s="6">
        <f t="shared" ref="D2:D6" si="0">B2*C2</f>
        <v>7.2</v>
      </c>
    </row>
    <row r="3" spans="1:7" ht="15.75" customHeight="1">
      <c r="A3" s="12" t="str">
        <f>Referencias!B22</f>
        <v>Impressao Capa A4</v>
      </c>
      <c r="B3" s="13">
        <v>9</v>
      </c>
      <c r="C3" s="6">
        <f>Referencias!F22</f>
        <v>0.5</v>
      </c>
      <c r="D3" s="6">
        <f t="shared" si="0"/>
        <v>4.5</v>
      </c>
    </row>
    <row r="4" spans="1:7" ht="15.75" customHeight="1">
      <c r="A4" s="12" t="str">
        <f>Referencias!B62</f>
        <v>Frete</v>
      </c>
      <c r="B4" s="12"/>
      <c r="C4" s="6">
        <f>Referencias!F62</f>
        <v>0</v>
      </c>
      <c r="D4" s="6">
        <f t="shared" si="0"/>
        <v>0</v>
      </c>
    </row>
    <row r="5" spans="1:7" ht="15.75" customHeight="1">
      <c r="A5" s="12" t="str">
        <f>Referencias!B14</f>
        <v>Desgaste Bloquinho/Outros</v>
      </c>
      <c r="B5" s="13">
        <v>1</v>
      </c>
      <c r="C5" s="6">
        <f>Referencias!F14</f>
        <v>0.5</v>
      </c>
      <c r="D5" s="6">
        <f t="shared" si="0"/>
        <v>0.5</v>
      </c>
    </row>
    <row r="6" spans="1:7" ht="15.75" customHeight="1">
      <c r="A6" s="12" t="str">
        <f>Referencias!B17</f>
        <v>Embalagem Padrão</v>
      </c>
      <c r="B6" s="13">
        <v>1</v>
      </c>
      <c r="C6" s="6">
        <f>Referencias!F17</f>
        <v>1.5</v>
      </c>
      <c r="D6" s="6">
        <f t="shared" si="0"/>
        <v>1.5</v>
      </c>
    </row>
    <row r="7" spans="1:7" ht="15.75" customHeight="1">
      <c r="A7" s="2" t="s">
        <v>312</v>
      </c>
      <c r="B7" s="12"/>
      <c r="C7" s="10"/>
      <c r="D7" s="3">
        <f>SUM(D2:D6)</f>
        <v>13.7</v>
      </c>
      <c r="E7" s="39"/>
      <c r="F7" s="39"/>
    </row>
    <row r="8" spans="1:7" ht="15.75" customHeight="1">
      <c r="A8" s="2" t="s">
        <v>313</v>
      </c>
      <c r="B8" s="15">
        <v>0.55000000000000004</v>
      </c>
      <c r="C8" s="6">
        <f>D7*B8</f>
        <v>7.5350000000000001</v>
      </c>
      <c r="D8" s="3">
        <f>D7+C8</f>
        <v>21.234999999999999</v>
      </c>
      <c r="E8" s="92"/>
      <c r="F8" s="93"/>
      <c r="G8" s="93"/>
    </row>
    <row r="9" spans="1:7" ht="15.75" customHeight="1">
      <c r="A9" s="2" t="s">
        <v>314</v>
      </c>
      <c r="B9" s="40" t="s">
        <v>370</v>
      </c>
      <c r="C9" s="36" t="s">
        <v>370</v>
      </c>
      <c r="D9" s="10"/>
      <c r="E9" s="7"/>
      <c r="F9" s="7"/>
      <c r="G9" s="7"/>
    </row>
    <row r="10" spans="1:7" ht="15.75" customHeight="1">
      <c r="A10" s="2" t="s">
        <v>315</v>
      </c>
      <c r="B10" s="37">
        <v>1.1000000000000001</v>
      </c>
      <c r="C10" s="41">
        <v>1.9</v>
      </c>
      <c r="D10" s="3">
        <v>84</v>
      </c>
      <c r="E10" s="16"/>
      <c r="F10" s="16"/>
      <c r="G10" s="16"/>
    </row>
    <row r="12" spans="1:7" ht="15.75" customHeight="1">
      <c r="A12" s="89" t="s">
        <v>371</v>
      </c>
      <c r="B12" s="90"/>
      <c r="C12" s="91"/>
      <c r="D12" s="3">
        <v>97</v>
      </c>
    </row>
    <row r="13" spans="1:7" ht="15.75" customHeight="1">
      <c r="A13" s="12" t="str">
        <f>Referencias!B84</f>
        <v>Papel 180gr A4</v>
      </c>
      <c r="B13" s="13">
        <v>5</v>
      </c>
      <c r="C13" s="6">
        <f>Referencias!F84</f>
        <v>0.32</v>
      </c>
      <c r="D13" s="6">
        <f t="shared" ref="D13:D17" si="1">B13*C13</f>
        <v>1.6</v>
      </c>
    </row>
    <row r="14" spans="1:7" ht="15.75" customHeight="1">
      <c r="A14" s="12" t="str">
        <f>Referencias!B22</f>
        <v>Impressao Capa A4</v>
      </c>
      <c r="B14" s="13">
        <v>5</v>
      </c>
      <c r="C14" s="6">
        <f>Referencias!F22</f>
        <v>0.5</v>
      </c>
      <c r="D14" s="6">
        <f t="shared" si="1"/>
        <v>2.5</v>
      </c>
    </row>
    <row r="15" spans="1:7" ht="15.75" customHeight="1">
      <c r="A15" s="12" t="str">
        <f>Referencias!B62</f>
        <v>Frete</v>
      </c>
      <c r="B15" s="12"/>
      <c r="C15" s="6">
        <f>Referencias!F62</f>
        <v>0</v>
      </c>
      <c r="D15" s="6">
        <f t="shared" si="1"/>
        <v>0</v>
      </c>
    </row>
    <row r="16" spans="1:7" ht="15.75" customHeight="1">
      <c r="A16" s="12" t="str">
        <f>Referencias!B14</f>
        <v>Desgaste Bloquinho/Outros</v>
      </c>
      <c r="B16" s="13">
        <v>1</v>
      </c>
      <c r="C16" s="6">
        <f>Referencias!F14</f>
        <v>0.5</v>
      </c>
      <c r="D16" s="6">
        <f t="shared" si="1"/>
        <v>0.5</v>
      </c>
    </row>
    <row r="17" spans="1:7" ht="15.75" customHeight="1">
      <c r="A17" s="12" t="str">
        <f>Referencias!B17</f>
        <v>Embalagem Padrão</v>
      </c>
      <c r="B17" s="13">
        <v>1</v>
      </c>
      <c r="C17" s="6">
        <f>Referencias!F17</f>
        <v>1.5</v>
      </c>
      <c r="D17" s="6">
        <f t="shared" si="1"/>
        <v>1.5</v>
      </c>
    </row>
    <row r="18" spans="1:7" ht="15.75" customHeight="1">
      <c r="A18" s="2" t="s">
        <v>312</v>
      </c>
      <c r="B18" s="12"/>
      <c r="C18" s="10"/>
      <c r="D18" s="3">
        <f>SUM(D13:D17)</f>
        <v>6.1</v>
      </c>
      <c r="E18" s="39"/>
      <c r="F18" s="39"/>
    </row>
    <row r="19" spans="1:7" ht="15.75" customHeight="1">
      <c r="A19" s="2" t="s">
        <v>313</v>
      </c>
      <c r="B19" s="15">
        <v>0.55000000000000004</v>
      </c>
      <c r="C19" s="6">
        <f>D18*B19</f>
        <v>3.355</v>
      </c>
      <c r="D19" s="3">
        <f>D18+C19</f>
        <v>9.4550000000000001</v>
      </c>
      <c r="E19" s="92"/>
      <c r="F19" s="93"/>
      <c r="G19" s="93"/>
    </row>
    <row r="20" spans="1:7" ht="15.75" customHeight="1">
      <c r="A20" s="2" t="s">
        <v>314</v>
      </c>
      <c r="B20" s="40" t="s">
        <v>370</v>
      </c>
      <c r="C20" s="36" t="s">
        <v>370</v>
      </c>
      <c r="D20" s="10"/>
      <c r="E20" s="7"/>
      <c r="F20" s="7"/>
      <c r="G20" s="7"/>
    </row>
    <row r="21" spans="1:7" ht="15.75" customHeight="1">
      <c r="A21" s="2" t="s">
        <v>315</v>
      </c>
      <c r="B21" s="37">
        <v>0.85</v>
      </c>
      <c r="C21" s="41">
        <v>0.63</v>
      </c>
      <c r="D21" s="3">
        <v>97</v>
      </c>
      <c r="E21" s="16"/>
      <c r="F21" s="16"/>
      <c r="G21" s="16"/>
    </row>
    <row r="23" spans="1:7" ht="15.75" customHeight="1">
      <c r="A23" s="89" t="s">
        <v>372</v>
      </c>
      <c r="B23" s="90"/>
      <c r="C23" s="91"/>
      <c r="D23" s="3">
        <v>55</v>
      </c>
    </row>
    <row r="24" spans="1:7" ht="15.75" customHeight="1">
      <c r="A24" s="12" t="str">
        <f>Referencias!B58</f>
        <v>Papelão 16x22</v>
      </c>
      <c r="B24" s="13">
        <v>2</v>
      </c>
      <c r="C24" s="6">
        <f>Referencias!F58</f>
        <v>1.5</v>
      </c>
      <c r="D24" s="6">
        <f t="shared" ref="D24:D34" si="2">B24*C24</f>
        <v>3</v>
      </c>
    </row>
    <row r="25" spans="1:7" ht="15.75" customHeight="1">
      <c r="A25" s="12" t="str">
        <f>Referencias!B53</f>
        <v>Papel fotografico A4</v>
      </c>
      <c r="B25" s="13">
        <v>2</v>
      </c>
      <c r="C25" s="6">
        <f>Referencias!F53</f>
        <v>0.8</v>
      </c>
      <c r="D25" s="6">
        <f t="shared" si="2"/>
        <v>1.6</v>
      </c>
    </row>
    <row r="26" spans="1:7" ht="15.75" customHeight="1">
      <c r="A26" s="12" t="str">
        <f>Referencias!B31</f>
        <v>bopp</v>
      </c>
      <c r="B26" s="13">
        <f>0.3*2</f>
        <v>0.6</v>
      </c>
      <c r="C26" s="6">
        <f>Referencias!F31</f>
        <v>0.45</v>
      </c>
      <c r="D26" s="6">
        <f t="shared" si="2"/>
        <v>0.27</v>
      </c>
    </row>
    <row r="27" spans="1:7" ht="15.75" customHeight="1">
      <c r="A27" s="12" t="str">
        <f>Referencias!B48</f>
        <v>Papel guarda 15,5x21,5 offset adesivo</v>
      </c>
      <c r="B27" s="13">
        <v>2</v>
      </c>
      <c r="C27" s="6">
        <f>Referencias!F48</f>
        <v>0.75</v>
      </c>
      <c r="D27" s="6">
        <f t="shared" si="2"/>
        <v>1.5</v>
      </c>
    </row>
    <row r="28" spans="1:7" ht="15.75" customHeight="1">
      <c r="A28" s="12" t="str">
        <f>Referencias!B84</f>
        <v>Papel 180gr A4</v>
      </c>
      <c r="B28" s="13">
        <v>30</v>
      </c>
      <c r="C28" s="6">
        <f>Referencias!F84</f>
        <v>0.32</v>
      </c>
      <c r="D28" s="6">
        <f t="shared" si="2"/>
        <v>9.6</v>
      </c>
    </row>
    <row r="29" spans="1:7" ht="15.75" customHeight="1">
      <c r="A29" s="12" t="str">
        <f>Referencias!B121</f>
        <v>Fita cetim</v>
      </c>
      <c r="B29" s="13">
        <v>1.18</v>
      </c>
      <c r="C29" s="6">
        <f>Referencias!F121</f>
        <v>0.13</v>
      </c>
      <c r="D29" s="6">
        <f t="shared" si="2"/>
        <v>0.15340000000000001</v>
      </c>
    </row>
    <row r="30" spans="1:7" ht="15.75" customHeight="1">
      <c r="A30" s="12" t="str">
        <f>Referencias!B10</f>
        <v>Ilhos</v>
      </c>
      <c r="B30" s="13">
        <v>10</v>
      </c>
      <c r="C30" s="6">
        <f>Referencias!F10</f>
        <v>0.05</v>
      </c>
      <c r="D30" s="6">
        <f t="shared" si="2"/>
        <v>0.5</v>
      </c>
    </row>
    <row r="31" spans="1:7" ht="15.75" customHeight="1">
      <c r="A31" s="12" t="str">
        <f>Referencias!B22</f>
        <v>Impressao Capa A4</v>
      </c>
      <c r="B31" s="13">
        <v>2</v>
      </c>
      <c r="C31" s="6">
        <f>Referencias!F22</f>
        <v>0.5</v>
      </c>
      <c r="D31" s="6">
        <f t="shared" si="2"/>
        <v>1</v>
      </c>
    </row>
    <row r="32" spans="1:7" ht="15.75" customHeight="1">
      <c r="A32" s="12" t="str">
        <f>Referencias!B62</f>
        <v>Frete</v>
      </c>
      <c r="B32" s="12"/>
      <c r="C32" s="6">
        <f>Referencias!F62</f>
        <v>0</v>
      </c>
      <c r="D32" s="6">
        <f t="shared" si="2"/>
        <v>0</v>
      </c>
    </row>
    <row r="33" spans="1:7" ht="15.75" customHeight="1">
      <c r="A33" s="12" t="str">
        <f>Referencias!B15</f>
        <v>Desgaste Caderno A5</v>
      </c>
      <c r="B33" s="13">
        <v>1</v>
      </c>
      <c r="C33" s="6">
        <f>Referencias!F15</f>
        <v>2</v>
      </c>
      <c r="D33" s="6">
        <f t="shared" si="2"/>
        <v>2</v>
      </c>
    </row>
    <row r="34" spans="1:7" ht="15.75" customHeight="1">
      <c r="A34" s="12" t="str">
        <f>Referencias!B17</f>
        <v>Embalagem Padrão</v>
      </c>
      <c r="B34" s="13">
        <v>1</v>
      </c>
      <c r="C34" s="6">
        <f>Referencias!F17</f>
        <v>1.5</v>
      </c>
      <c r="D34" s="6">
        <f t="shared" si="2"/>
        <v>1.5</v>
      </c>
    </row>
    <row r="35" spans="1:7" ht="15.75" customHeight="1">
      <c r="A35" s="2" t="s">
        <v>312</v>
      </c>
      <c r="B35" s="12"/>
      <c r="C35" s="6"/>
      <c r="D35" s="3">
        <f>SUM(D24:D34)</f>
        <v>21.1234</v>
      </c>
    </row>
    <row r="36" spans="1:7" ht="15.75" customHeight="1">
      <c r="A36" s="2" t="s">
        <v>313</v>
      </c>
      <c r="B36" s="15">
        <v>0.55000000000000004</v>
      </c>
      <c r="C36" s="6">
        <f>D35*B36</f>
        <v>11.617870000000002</v>
      </c>
      <c r="D36" s="3">
        <f>D35+C36</f>
        <v>32.74127</v>
      </c>
      <c r="E36" s="92"/>
      <c r="F36" s="93"/>
      <c r="G36" s="93"/>
    </row>
    <row r="37" spans="1:7" ht="15">
      <c r="A37" s="2" t="s">
        <v>314</v>
      </c>
      <c r="B37" s="40" t="s">
        <v>330</v>
      </c>
      <c r="C37" s="36"/>
      <c r="D37" s="10"/>
      <c r="E37" s="7"/>
      <c r="F37" s="7"/>
      <c r="G37" s="7"/>
    </row>
    <row r="38" spans="1:7" ht="15">
      <c r="A38" s="2" t="s">
        <v>315</v>
      </c>
      <c r="B38" s="37">
        <v>84.9</v>
      </c>
      <c r="C38" s="36"/>
      <c r="D38" s="3">
        <v>55</v>
      </c>
      <c r="E38" s="16"/>
      <c r="F38" s="16"/>
      <c r="G38" s="16"/>
    </row>
    <row r="40" spans="1:7" ht="15">
      <c r="A40" s="89" t="s">
        <v>327</v>
      </c>
      <c r="B40" s="90"/>
      <c r="C40" s="91"/>
      <c r="D40" s="23">
        <v>45</v>
      </c>
      <c r="E40" s="18"/>
      <c r="F40" s="18"/>
    </row>
    <row r="41" spans="1:7" ht="15">
      <c r="A41" s="19" t="str">
        <f>Referencias!B58</f>
        <v>Papelão 16x22</v>
      </c>
      <c r="B41" s="26">
        <v>2</v>
      </c>
      <c r="C41" s="6">
        <f>Referencias!F58</f>
        <v>1.5</v>
      </c>
      <c r="D41" s="21">
        <f t="shared" ref="D41:D50" si="3">B41*C41</f>
        <v>3</v>
      </c>
      <c r="E41" s="18"/>
      <c r="F41" s="18"/>
      <c r="G41" s="18"/>
    </row>
    <row r="42" spans="1:7" ht="15">
      <c r="A42" s="19" t="str">
        <f>Referencias!B53</f>
        <v>Papel fotografico A4</v>
      </c>
      <c r="B42" s="26">
        <v>2</v>
      </c>
      <c r="C42" s="6">
        <f>Referencias!F53</f>
        <v>0.8</v>
      </c>
      <c r="D42" s="21">
        <f t="shared" si="3"/>
        <v>1.6</v>
      </c>
      <c r="E42" s="18"/>
      <c r="F42" s="18"/>
      <c r="G42" s="18"/>
    </row>
    <row r="43" spans="1:7" ht="15">
      <c r="A43" s="19" t="str">
        <f>Referencias!B31</f>
        <v>bopp</v>
      </c>
      <c r="B43" s="13">
        <f>0.3*2</f>
        <v>0.6</v>
      </c>
      <c r="C43" s="6">
        <f>Referencias!F31</f>
        <v>0.45</v>
      </c>
      <c r="D43" s="21">
        <f t="shared" si="3"/>
        <v>0.27</v>
      </c>
      <c r="E43" s="18"/>
      <c r="F43" s="18"/>
      <c r="G43" s="18"/>
    </row>
    <row r="44" spans="1:7" ht="15">
      <c r="A44" s="19" t="str">
        <f>Referencias!B48</f>
        <v>Papel guarda 15,5x21,5 offset adesivo</v>
      </c>
      <c r="B44" s="26">
        <v>2</v>
      </c>
      <c r="C44" s="6">
        <f>Referencias!F48</f>
        <v>0.75</v>
      </c>
      <c r="D44" s="21">
        <f t="shared" si="3"/>
        <v>1.5</v>
      </c>
      <c r="E44" s="18"/>
      <c r="F44" s="18"/>
      <c r="G44" s="18"/>
    </row>
    <row r="45" spans="1:7" ht="15">
      <c r="A45" s="19" t="str">
        <f>Referencias!B36</f>
        <v>miolo 180g A5</v>
      </c>
      <c r="B45" s="26">
        <v>30</v>
      </c>
      <c r="C45" s="6">
        <f>Referencias!F36</f>
        <v>0.16</v>
      </c>
      <c r="D45" s="6">
        <f t="shared" si="3"/>
        <v>4.8</v>
      </c>
      <c r="E45" s="18"/>
      <c r="F45" s="18"/>
      <c r="G45" s="18"/>
    </row>
    <row r="46" spans="1:7" ht="15">
      <c r="A46" s="19" t="str">
        <f>Referencias!B69</f>
        <v>Espiral 20mm</v>
      </c>
      <c r="B46" s="26">
        <v>1</v>
      </c>
      <c r="C46" s="21">
        <f>Referencias!F69</f>
        <v>0.64</v>
      </c>
      <c r="D46" s="21">
        <f t="shared" si="3"/>
        <v>0.64</v>
      </c>
      <c r="E46" s="18"/>
      <c r="F46" s="18"/>
      <c r="G46" s="18"/>
    </row>
    <row r="47" spans="1:7" ht="15">
      <c r="A47" s="19" t="str">
        <f>Referencias!B22</f>
        <v>Impressao Capa A4</v>
      </c>
      <c r="B47" s="26">
        <v>2</v>
      </c>
      <c r="C47" s="6">
        <f>Referencias!F22</f>
        <v>0.5</v>
      </c>
      <c r="D47" s="21">
        <f t="shared" si="3"/>
        <v>1</v>
      </c>
      <c r="E47" s="18"/>
      <c r="F47" s="18"/>
      <c r="G47" s="18"/>
    </row>
    <row r="48" spans="1:7" ht="15">
      <c r="A48" s="19" t="str">
        <f>Referencias!B62</f>
        <v>Frete</v>
      </c>
      <c r="B48" s="27"/>
      <c r="C48" s="28">
        <f>Referencias!F62</f>
        <v>0</v>
      </c>
      <c r="D48" s="21">
        <f t="shared" si="3"/>
        <v>0</v>
      </c>
      <c r="E48" s="18"/>
      <c r="F48" s="18"/>
      <c r="G48" s="18"/>
    </row>
    <row r="49" spans="1:7" ht="15">
      <c r="A49" s="19" t="str">
        <f>Referencias!B15</f>
        <v>Desgaste Caderno A5</v>
      </c>
      <c r="B49" s="26">
        <v>1</v>
      </c>
      <c r="C49" s="6">
        <f>Referencias!F15</f>
        <v>2</v>
      </c>
      <c r="D49" s="21">
        <f t="shared" si="3"/>
        <v>2</v>
      </c>
      <c r="E49" s="18"/>
      <c r="F49" s="18"/>
      <c r="G49" s="18"/>
    </row>
    <row r="50" spans="1:7" ht="15">
      <c r="A50" s="19" t="str">
        <f>Referencias!B17</f>
        <v>Embalagem Padrão</v>
      </c>
      <c r="B50" s="26">
        <v>1</v>
      </c>
      <c r="C50" s="6">
        <f>Referencias!F17</f>
        <v>1.5</v>
      </c>
      <c r="D50" s="21">
        <f t="shared" si="3"/>
        <v>1.5</v>
      </c>
      <c r="E50" s="18"/>
      <c r="F50" s="18"/>
      <c r="G50" s="18"/>
    </row>
    <row r="51" spans="1:7" ht="15">
      <c r="A51" s="22" t="s">
        <v>312</v>
      </c>
      <c r="B51" s="27"/>
      <c r="C51" s="28"/>
      <c r="D51" s="23">
        <f>SUM(D41:D50)</f>
        <v>16.309999999999999</v>
      </c>
      <c r="E51" s="18"/>
      <c r="F51" s="18"/>
      <c r="G51" s="18"/>
    </row>
    <row r="52" spans="1:7" ht="15">
      <c r="A52" s="22" t="s">
        <v>313</v>
      </c>
      <c r="B52" s="24">
        <v>0.55000000000000004</v>
      </c>
      <c r="C52" s="21">
        <f>D51*B52</f>
        <v>8.9704999999999995</v>
      </c>
      <c r="D52" s="23">
        <f>D51+C52</f>
        <v>25.280499999999996</v>
      </c>
      <c r="E52" s="92"/>
      <c r="F52" s="93"/>
      <c r="G52" s="93"/>
    </row>
    <row r="53" spans="1:7" ht="15">
      <c r="A53" s="22" t="s">
        <v>314</v>
      </c>
      <c r="B53" s="29" t="s">
        <v>322</v>
      </c>
      <c r="C53" s="30"/>
      <c r="D53" s="27"/>
      <c r="E53" s="7"/>
      <c r="F53" s="7"/>
      <c r="G53" s="7"/>
    </row>
    <row r="54" spans="1:7" ht="15">
      <c r="A54" s="22" t="s">
        <v>315</v>
      </c>
      <c r="B54" s="32">
        <v>39</v>
      </c>
      <c r="C54" s="30"/>
      <c r="D54" s="23">
        <v>45</v>
      </c>
      <c r="E54" s="16"/>
      <c r="F54" s="16"/>
      <c r="G54" s="16"/>
    </row>
    <row r="56" spans="1:7" ht="15">
      <c r="A56" s="89" t="s">
        <v>373</v>
      </c>
      <c r="B56" s="90"/>
      <c r="C56" s="91"/>
      <c r="D56" s="3">
        <v>60</v>
      </c>
    </row>
    <row r="57" spans="1:7" ht="15">
      <c r="A57" s="12" t="str">
        <f>Referencias!B58</f>
        <v>Papelão 16x22</v>
      </c>
      <c r="B57" s="13">
        <v>2</v>
      </c>
      <c r="C57" s="6">
        <f>Referencias!F58</f>
        <v>1.5</v>
      </c>
      <c r="D57" s="6">
        <f t="shared" ref="D57:D69" si="4">B57*C57</f>
        <v>3</v>
      </c>
    </row>
    <row r="58" spans="1:7" ht="15">
      <c r="A58" s="12" t="str">
        <f>Referencias!B53</f>
        <v>Papel fotografico A4</v>
      </c>
      <c r="B58" s="13">
        <v>2</v>
      </c>
      <c r="C58" s="6">
        <f>Referencias!F53</f>
        <v>0.8</v>
      </c>
      <c r="D58" s="6">
        <f t="shared" si="4"/>
        <v>1.6</v>
      </c>
    </row>
    <row r="59" spans="1:7" ht="15">
      <c r="A59" s="12" t="str">
        <f>Referencias!B31</f>
        <v>bopp</v>
      </c>
      <c r="B59" s="13">
        <f>0.3*2</f>
        <v>0.6</v>
      </c>
      <c r="C59" s="6">
        <f>Referencias!F31</f>
        <v>0.45</v>
      </c>
      <c r="D59" s="6">
        <f t="shared" si="4"/>
        <v>0.27</v>
      </c>
    </row>
    <row r="60" spans="1:7" ht="15">
      <c r="A60" s="12" t="str">
        <f>Referencias!B48</f>
        <v>Papel guarda 15,5x21,5 offset adesivo</v>
      </c>
      <c r="B60" s="13">
        <v>2</v>
      </c>
      <c r="C60" s="6">
        <f>Referencias!F48</f>
        <v>0.75</v>
      </c>
      <c r="D60" s="6">
        <f t="shared" si="4"/>
        <v>1.5</v>
      </c>
    </row>
    <row r="61" spans="1:7" ht="15">
      <c r="A61" s="12" t="str">
        <f>Referencias!B46</f>
        <v>miolo 90gr A5 14x18</v>
      </c>
      <c r="B61" s="13">
        <v>60</v>
      </c>
      <c r="C61" s="6">
        <f>Referencias!F46</f>
        <v>0.05</v>
      </c>
      <c r="D61" s="6">
        <f t="shared" si="4"/>
        <v>3</v>
      </c>
    </row>
    <row r="62" spans="1:7" ht="15">
      <c r="A62" s="12" t="str">
        <f>Referencias!B69</f>
        <v>Espiral 20mm</v>
      </c>
      <c r="B62" s="13">
        <v>1</v>
      </c>
      <c r="C62" s="6">
        <f>Referencias!F69</f>
        <v>0.64</v>
      </c>
      <c r="D62" s="6">
        <f t="shared" si="4"/>
        <v>0.64</v>
      </c>
    </row>
    <row r="63" spans="1:7" ht="15">
      <c r="A63" s="12" t="str">
        <f>Referencias!B215</f>
        <v>Color plus metalico Aspen 120g A4</v>
      </c>
      <c r="B63" s="13">
        <v>1</v>
      </c>
      <c r="C63" s="6">
        <f>Referencias!F215</f>
        <v>0.7</v>
      </c>
      <c r="D63" s="6">
        <f t="shared" si="4"/>
        <v>0.7</v>
      </c>
    </row>
    <row r="64" spans="1:7" ht="15">
      <c r="A64" s="12" t="str">
        <f>Referencias!B117</f>
        <v>Envelope Canguru 15x21</v>
      </c>
      <c r="B64" s="13">
        <v>1</v>
      </c>
      <c r="C64" s="6">
        <f>Referencias!F117</f>
        <v>1.97</v>
      </c>
      <c r="D64" s="6">
        <f t="shared" si="4"/>
        <v>1.97</v>
      </c>
    </row>
    <row r="65" spans="1:7" ht="15">
      <c r="A65" s="12" t="str">
        <f>Referencias!B22</f>
        <v>Impressao Capa A4</v>
      </c>
      <c r="B65" s="13">
        <v>2</v>
      </c>
      <c r="C65" s="6">
        <f>Referencias!F22</f>
        <v>0.5</v>
      </c>
      <c r="D65" s="6">
        <f t="shared" si="4"/>
        <v>1</v>
      </c>
    </row>
    <row r="66" spans="1:7" ht="15">
      <c r="A66" s="12" t="str">
        <f>Referencias!B29</f>
        <v>Impressao Miolo Frente Verso A5</v>
      </c>
      <c r="B66" s="13">
        <v>60</v>
      </c>
      <c r="C66" s="6">
        <f>Referencias!F29</f>
        <v>0.06</v>
      </c>
      <c r="D66" s="6">
        <f t="shared" si="4"/>
        <v>3.5999999999999996</v>
      </c>
    </row>
    <row r="67" spans="1:7" ht="15">
      <c r="A67" s="12" t="str">
        <f>Referencias!B62</f>
        <v>Frete</v>
      </c>
      <c r="B67" s="12"/>
      <c r="C67" s="6">
        <f>Referencias!F62</f>
        <v>0</v>
      </c>
      <c r="D67" s="6">
        <f t="shared" si="4"/>
        <v>0</v>
      </c>
    </row>
    <row r="68" spans="1:7" ht="15">
      <c r="A68" s="12" t="str">
        <f>Referencias!B13</f>
        <v>Desgaste Agenda</v>
      </c>
      <c r="B68" s="13">
        <v>1</v>
      </c>
      <c r="C68" s="6">
        <f>Referencias!F13</f>
        <v>1</v>
      </c>
      <c r="D68" s="6">
        <f t="shared" si="4"/>
        <v>1</v>
      </c>
    </row>
    <row r="69" spans="1:7" ht="15">
      <c r="A69" s="12" t="str">
        <f>Referencias!B17</f>
        <v>Embalagem Padrão</v>
      </c>
      <c r="B69" s="13">
        <v>1</v>
      </c>
      <c r="C69" s="6">
        <f>Referencias!F17</f>
        <v>1.5</v>
      </c>
      <c r="D69" s="6">
        <f t="shared" si="4"/>
        <v>1.5</v>
      </c>
    </row>
    <row r="70" spans="1:7" ht="15">
      <c r="A70" s="2" t="s">
        <v>312</v>
      </c>
      <c r="B70" s="12"/>
      <c r="C70" s="10"/>
      <c r="D70" s="3">
        <f>SUM(D57:D69)</f>
        <v>19.78</v>
      </c>
    </row>
    <row r="71" spans="1:7" ht="15">
      <c r="A71" s="2" t="s">
        <v>313</v>
      </c>
      <c r="B71" s="15">
        <v>0.55000000000000004</v>
      </c>
      <c r="C71" s="6">
        <f>D70*B71</f>
        <v>10.879000000000001</v>
      </c>
      <c r="D71" s="3">
        <f>D70+C71</f>
        <v>30.659000000000002</v>
      </c>
      <c r="E71" s="92"/>
      <c r="F71" s="93"/>
      <c r="G71" s="93"/>
    </row>
    <row r="72" spans="1:7" ht="15">
      <c r="A72" s="2" t="s">
        <v>314</v>
      </c>
      <c r="B72" s="40" t="s">
        <v>331</v>
      </c>
      <c r="C72" s="36"/>
      <c r="D72" s="10"/>
      <c r="E72" s="7"/>
      <c r="F72" s="7"/>
      <c r="G72" s="7"/>
    </row>
    <row r="73" spans="1:7" ht="15">
      <c r="A73" s="2" t="s">
        <v>315</v>
      </c>
      <c r="B73" s="37">
        <v>51</v>
      </c>
      <c r="C73" s="41"/>
      <c r="D73" s="3">
        <v>70</v>
      </c>
      <c r="E73" s="16"/>
      <c r="F73" s="16"/>
      <c r="G73" s="16"/>
    </row>
  </sheetData>
  <mergeCells count="10">
    <mergeCell ref="E52:G52"/>
    <mergeCell ref="A56:C56"/>
    <mergeCell ref="E71:G71"/>
    <mergeCell ref="A1:C1"/>
    <mergeCell ref="E8:G8"/>
    <mergeCell ref="A12:C12"/>
    <mergeCell ref="E19:G19"/>
    <mergeCell ref="A23:C23"/>
    <mergeCell ref="E36:G36"/>
    <mergeCell ref="A40:C40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36"/>
  <sheetViews>
    <sheetView workbookViewId="0">
      <selection sqref="A1:D1"/>
    </sheetView>
  </sheetViews>
  <sheetFormatPr defaultColWidth="12.5703125" defaultRowHeight="15.75" customHeight="1"/>
  <cols>
    <col min="1" max="1" width="45.85546875" customWidth="1"/>
    <col min="2" max="3" width="8.42578125" customWidth="1"/>
    <col min="4" max="4" width="9.42578125" customWidth="1"/>
    <col min="5" max="5" width="8.7109375" customWidth="1"/>
    <col min="6" max="6" width="11" customWidth="1"/>
    <col min="7" max="7" width="11.5703125" customWidth="1"/>
    <col min="8" max="10" width="10.7109375" customWidth="1"/>
    <col min="11" max="13" width="11.28515625" customWidth="1"/>
  </cols>
  <sheetData>
    <row r="1" spans="1:13" ht="15.75" customHeight="1">
      <c r="A1" s="89" t="s">
        <v>374</v>
      </c>
      <c r="B1" s="90"/>
      <c r="C1" s="90"/>
      <c r="D1" s="91"/>
      <c r="E1" s="63">
        <v>42.5</v>
      </c>
      <c r="I1" s="18"/>
      <c r="J1" s="18"/>
      <c r="K1" s="18"/>
      <c r="L1" s="18"/>
      <c r="M1" s="18"/>
    </row>
    <row r="2" spans="1:13" ht="15.75" customHeight="1">
      <c r="A2" s="48" t="str">
        <f>Referencias!B37</f>
        <v>miolo 180gr A4</v>
      </c>
      <c r="B2" s="49"/>
      <c r="C2" s="49">
        <v>13</v>
      </c>
      <c r="D2" s="50">
        <f>Referencias!F37</f>
        <v>0.32</v>
      </c>
      <c r="E2" s="50">
        <f t="shared" ref="E2:E6" si="0">C2*D2</f>
        <v>4.16</v>
      </c>
      <c r="F2" s="18"/>
      <c r="G2" s="18"/>
      <c r="H2" s="18"/>
      <c r="I2" s="18"/>
      <c r="J2" s="18"/>
      <c r="K2" s="18"/>
      <c r="L2" s="18"/>
      <c r="M2" s="18"/>
    </row>
    <row r="3" spans="1:13" ht="15.75" customHeight="1">
      <c r="A3" s="48" t="str">
        <f>Referencias!B22</f>
        <v>Impressao Capa A4</v>
      </c>
      <c r="B3" s="49"/>
      <c r="C3" s="49">
        <v>13</v>
      </c>
      <c r="D3" s="50">
        <f>Referencias!F22</f>
        <v>0.5</v>
      </c>
      <c r="E3" s="50">
        <f t="shared" si="0"/>
        <v>6.5</v>
      </c>
      <c r="F3" s="18"/>
      <c r="G3" s="18"/>
      <c r="H3" s="18"/>
      <c r="I3" s="18"/>
      <c r="J3" s="18"/>
      <c r="K3" s="18"/>
      <c r="L3" s="18"/>
      <c r="M3" s="18"/>
    </row>
    <row r="4" spans="1:13" ht="15.75" customHeight="1">
      <c r="A4" s="48" t="str">
        <f>Referencias!B62</f>
        <v>Frete</v>
      </c>
      <c r="B4" s="51"/>
      <c r="C4" s="51"/>
      <c r="D4" s="50">
        <f>Referencias!F62</f>
        <v>0</v>
      </c>
      <c r="E4" s="50">
        <f t="shared" si="0"/>
        <v>0</v>
      </c>
      <c r="F4" s="18"/>
      <c r="G4" s="18"/>
      <c r="H4" s="18"/>
      <c r="I4" s="18"/>
      <c r="J4" s="18"/>
      <c r="K4" s="18"/>
      <c r="L4" s="18"/>
      <c r="M4" s="18"/>
    </row>
    <row r="5" spans="1:13" ht="15.75" customHeight="1">
      <c r="A5" s="48" t="str">
        <f>Referencias!B14</f>
        <v>Desgaste Bloquinho/Outros</v>
      </c>
      <c r="B5" s="49"/>
      <c r="C5" s="49">
        <v>13</v>
      </c>
      <c r="D5" s="50">
        <f>Referencias!F14</f>
        <v>0.5</v>
      </c>
      <c r="E5" s="50">
        <f t="shared" si="0"/>
        <v>6.5</v>
      </c>
      <c r="F5" s="18"/>
      <c r="G5" s="18"/>
      <c r="H5" s="18"/>
      <c r="I5" s="18"/>
      <c r="J5" s="18"/>
      <c r="K5" s="18"/>
      <c r="L5" s="18"/>
      <c r="M5" s="18"/>
    </row>
    <row r="6" spans="1:13" ht="15.75" customHeight="1">
      <c r="A6" s="48" t="str">
        <f>Referencias!B17</f>
        <v>Embalagem Padrão</v>
      </c>
      <c r="B6" s="49"/>
      <c r="C6" s="49">
        <v>1</v>
      </c>
      <c r="D6" s="50">
        <f>Referencias!F17</f>
        <v>1.5</v>
      </c>
      <c r="E6" s="50">
        <f t="shared" si="0"/>
        <v>1.5</v>
      </c>
      <c r="F6" s="18"/>
      <c r="G6" s="18"/>
      <c r="H6" s="18"/>
      <c r="I6" s="18"/>
      <c r="J6" s="18"/>
      <c r="K6" s="18"/>
      <c r="L6" s="18"/>
      <c r="M6" s="18"/>
    </row>
    <row r="7" spans="1:13" ht="15.75" customHeight="1">
      <c r="A7" s="53" t="s">
        <v>312</v>
      </c>
      <c r="B7" s="51"/>
      <c r="C7" s="51"/>
      <c r="D7" s="51"/>
      <c r="E7" s="55">
        <f>SUM(E2:E6)</f>
        <v>18.66</v>
      </c>
      <c r="F7" s="18"/>
      <c r="G7" s="18"/>
      <c r="H7" s="18"/>
      <c r="I7" s="18"/>
      <c r="J7" s="18"/>
      <c r="K7" s="18"/>
      <c r="L7" s="18"/>
      <c r="M7" s="18"/>
    </row>
    <row r="8" spans="1:13" ht="15.75" customHeight="1">
      <c r="A8" s="53" t="s">
        <v>313</v>
      </c>
      <c r="B8" s="56"/>
      <c r="C8" s="56">
        <v>0.55000000000000004</v>
      </c>
      <c r="D8" s="50">
        <f>E7*C8</f>
        <v>10.263000000000002</v>
      </c>
      <c r="E8" s="55">
        <f>E7+D8</f>
        <v>28.923000000000002</v>
      </c>
      <c r="F8" s="94"/>
      <c r="G8" s="93"/>
      <c r="H8" s="93"/>
      <c r="I8" s="18"/>
      <c r="J8" s="18"/>
      <c r="K8" s="18"/>
      <c r="L8" s="18"/>
      <c r="M8" s="18"/>
    </row>
    <row r="9" spans="1:13" ht="15.75" customHeight="1">
      <c r="A9" s="53" t="s">
        <v>314</v>
      </c>
      <c r="B9" s="64"/>
      <c r="C9" s="64"/>
      <c r="D9" s="65" t="s">
        <v>331</v>
      </c>
      <c r="E9" s="54"/>
      <c r="F9" s="31"/>
      <c r="G9" s="31"/>
      <c r="H9" s="31"/>
      <c r="I9" s="18"/>
      <c r="J9" s="18"/>
      <c r="K9" s="18"/>
      <c r="L9" s="18"/>
      <c r="M9" s="18"/>
    </row>
    <row r="10" spans="1:13" ht="15.75" customHeight="1">
      <c r="A10" s="53" t="s">
        <v>315</v>
      </c>
      <c r="B10" s="66"/>
      <c r="C10" s="66"/>
      <c r="D10" s="67"/>
      <c r="E10" s="55">
        <v>42.5</v>
      </c>
      <c r="F10" s="34"/>
      <c r="G10" s="34"/>
      <c r="H10" s="34"/>
      <c r="I10" s="18"/>
      <c r="J10" s="18"/>
      <c r="K10" s="18"/>
      <c r="L10" s="18"/>
      <c r="M10" s="18"/>
    </row>
    <row r="12" spans="1:13" ht="15.75" customHeight="1">
      <c r="A12" s="89" t="s">
        <v>375</v>
      </c>
      <c r="B12" s="90"/>
      <c r="C12" s="90"/>
      <c r="D12" s="91"/>
      <c r="E12" s="63">
        <v>42.5</v>
      </c>
      <c r="I12" s="18"/>
      <c r="J12" s="18"/>
      <c r="K12" s="18"/>
      <c r="L12" s="18"/>
      <c r="M12" s="18"/>
    </row>
    <row r="13" spans="1:13" ht="15.75" customHeight="1">
      <c r="A13" s="48" t="str">
        <f>Referencias!B37</f>
        <v>miolo 180gr A4</v>
      </c>
      <c r="B13" s="49"/>
      <c r="C13" s="49">
        <v>13</v>
      </c>
      <c r="D13" s="50">
        <f>Referencias!F37</f>
        <v>0.32</v>
      </c>
      <c r="E13" s="50">
        <f t="shared" ref="E13:E18" si="1">C13*D13</f>
        <v>4.16</v>
      </c>
      <c r="F13" s="18"/>
      <c r="G13" s="18"/>
      <c r="H13" s="18"/>
      <c r="I13" s="18"/>
      <c r="J13" s="18"/>
      <c r="K13" s="18"/>
      <c r="L13" s="18"/>
      <c r="M13" s="18"/>
    </row>
    <row r="14" spans="1:13" ht="15.75" customHeight="1">
      <c r="A14" s="48" t="str">
        <f>Referencias!B22</f>
        <v>Impressao Capa A4</v>
      </c>
      <c r="B14" s="49"/>
      <c r="C14" s="49">
        <v>13</v>
      </c>
      <c r="D14" s="50">
        <f>Referencias!F22</f>
        <v>0.5</v>
      </c>
      <c r="E14" s="50">
        <f t="shared" si="1"/>
        <v>6.5</v>
      </c>
      <c r="F14" s="18"/>
      <c r="G14" s="18"/>
      <c r="H14" s="18"/>
      <c r="I14" s="18"/>
      <c r="J14" s="18"/>
      <c r="K14" s="18"/>
      <c r="L14" s="18"/>
      <c r="M14" s="18"/>
    </row>
    <row r="15" spans="1:13" ht="15.75" customHeight="1">
      <c r="A15" s="48" t="str">
        <f>Referencias!B121</f>
        <v>Fita cetim</v>
      </c>
      <c r="B15" s="51"/>
      <c r="C15" s="51">
        <f>0.13*13</f>
        <v>1.69</v>
      </c>
      <c r="D15" s="50">
        <f>Referencias!F121</f>
        <v>0.13</v>
      </c>
      <c r="E15" s="50">
        <f t="shared" si="1"/>
        <v>0.21970000000000001</v>
      </c>
      <c r="F15" s="18"/>
      <c r="G15" s="18"/>
      <c r="H15" s="18"/>
      <c r="I15" s="18"/>
      <c r="J15" s="18"/>
      <c r="K15" s="18"/>
      <c r="L15" s="18"/>
      <c r="M15" s="18"/>
    </row>
    <row r="16" spans="1:13" ht="15.75" customHeight="1">
      <c r="A16" s="48" t="str">
        <f>Referencias!B62</f>
        <v>Frete</v>
      </c>
      <c r="B16" s="51"/>
      <c r="C16" s="51"/>
      <c r="D16" s="50">
        <f>Referencias!F62</f>
        <v>0</v>
      </c>
      <c r="E16" s="50">
        <f t="shared" si="1"/>
        <v>0</v>
      </c>
      <c r="F16" s="18"/>
      <c r="G16" s="18"/>
      <c r="H16" s="18"/>
      <c r="I16" s="18"/>
      <c r="J16" s="18"/>
      <c r="K16" s="18"/>
      <c r="L16" s="18"/>
      <c r="M16" s="18"/>
    </row>
    <row r="17" spans="1:13" ht="15.75" customHeight="1">
      <c r="A17" s="48" t="str">
        <f>Referencias!B14</f>
        <v>Desgaste Bloquinho/Outros</v>
      </c>
      <c r="B17" s="49"/>
      <c r="C17" s="49">
        <v>13</v>
      </c>
      <c r="D17" s="50">
        <f>Referencias!F14</f>
        <v>0.5</v>
      </c>
      <c r="E17" s="50">
        <f t="shared" si="1"/>
        <v>6.5</v>
      </c>
      <c r="F17" s="18"/>
      <c r="G17" s="18"/>
      <c r="H17" s="18"/>
      <c r="I17" s="18"/>
      <c r="J17" s="18"/>
      <c r="K17" s="18"/>
      <c r="L17" s="18"/>
      <c r="M17" s="18"/>
    </row>
    <row r="18" spans="1:13" ht="15.75" customHeight="1">
      <c r="A18" s="48" t="str">
        <f>Referencias!B17</f>
        <v>Embalagem Padrão</v>
      </c>
      <c r="B18" s="49"/>
      <c r="C18" s="49">
        <v>1</v>
      </c>
      <c r="D18" s="50">
        <f>Referencias!F17</f>
        <v>1.5</v>
      </c>
      <c r="E18" s="50">
        <f t="shared" si="1"/>
        <v>1.5</v>
      </c>
      <c r="F18" s="18"/>
      <c r="G18" s="18"/>
      <c r="H18" s="18"/>
      <c r="I18" s="18"/>
      <c r="J18" s="18"/>
      <c r="K18" s="18"/>
      <c r="L18" s="18"/>
      <c r="M18" s="18"/>
    </row>
    <row r="19" spans="1:13" ht="15.75" customHeight="1">
      <c r="A19" s="53" t="s">
        <v>312</v>
      </c>
      <c r="B19" s="51"/>
      <c r="C19" s="51"/>
      <c r="D19" s="51"/>
      <c r="E19" s="55">
        <f>SUM(E13:E18)</f>
        <v>18.8797</v>
      </c>
      <c r="F19" s="18"/>
      <c r="G19" s="18"/>
      <c r="H19" s="18"/>
      <c r="I19" s="18"/>
      <c r="J19" s="18"/>
      <c r="K19" s="18"/>
      <c r="L19" s="18"/>
      <c r="M19" s="18"/>
    </row>
    <row r="20" spans="1:13" ht="15.75" customHeight="1">
      <c r="A20" s="53" t="s">
        <v>313</v>
      </c>
      <c r="B20" s="56"/>
      <c r="C20" s="56">
        <v>0.55000000000000004</v>
      </c>
      <c r="D20" s="50">
        <f>E19*C20</f>
        <v>10.383835000000001</v>
      </c>
      <c r="E20" s="55">
        <f>E19+D20</f>
        <v>29.263535000000001</v>
      </c>
      <c r="F20" s="94"/>
      <c r="G20" s="93"/>
      <c r="H20" s="93"/>
      <c r="I20" s="18"/>
      <c r="J20" s="18"/>
      <c r="K20" s="18"/>
      <c r="L20" s="18"/>
      <c r="M20" s="18"/>
    </row>
    <row r="21" spans="1:13" ht="15.75" customHeight="1">
      <c r="A21" s="53" t="s">
        <v>314</v>
      </c>
      <c r="B21" s="64"/>
      <c r="C21" s="64"/>
      <c r="D21" s="65" t="s">
        <v>331</v>
      </c>
      <c r="E21" s="54"/>
      <c r="F21" s="31"/>
      <c r="G21" s="31"/>
      <c r="H21" s="31"/>
      <c r="I21" s="18"/>
      <c r="J21" s="18"/>
      <c r="K21" s="18"/>
      <c r="L21" s="18"/>
      <c r="M21" s="18"/>
    </row>
    <row r="22" spans="1:13" ht="15.75" customHeight="1">
      <c r="A22" s="53" t="s">
        <v>315</v>
      </c>
      <c r="B22" s="66"/>
      <c r="C22" s="66"/>
      <c r="D22" s="67"/>
      <c r="E22" s="55">
        <v>42.5</v>
      </c>
      <c r="F22" s="34"/>
      <c r="G22" s="34"/>
      <c r="H22" s="34"/>
      <c r="I22" s="18"/>
      <c r="J22" s="18"/>
      <c r="K22" s="18"/>
      <c r="L22" s="18"/>
      <c r="M22" s="18"/>
    </row>
    <row r="24" spans="1:13" ht="15.75" customHeight="1">
      <c r="A24" s="89" t="s">
        <v>376</v>
      </c>
      <c r="B24" s="90"/>
      <c r="C24" s="90"/>
      <c r="D24" s="91"/>
      <c r="E24" s="63">
        <v>50</v>
      </c>
    </row>
    <row r="25" spans="1:13" ht="15.75" customHeight="1">
      <c r="A25" s="48" t="str">
        <f>Referencias!B216</f>
        <v>Sulfite 90gr A4</v>
      </c>
      <c r="B25" s="49"/>
      <c r="C25" s="49">
        <v>5</v>
      </c>
      <c r="D25" s="50">
        <f>Referencias!F216</f>
        <v>0.1</v>
      </c>
      <c r="E25" s="50">
        <f t="shared" ref="E25:E31" si="2">C25*D25</f>
        <v>0.5</v>
      </c>
      <c r="F25" s="18"/>
      <c r="G25" s="18"/>
      <c r="H25" s="18"/>
    </row>
    <row r="26" spans="1:13" ht="15.75" customHeight="1">
      <c r="A26" s="48" t="str">
        <f>Referencias!B22</f>
        <v>Impressao Capa A4</v>
      </c>
      <c r="B26" s="49"/>
      <c r="C26" s="49">
        <v>5</v>
      </c>
      <c r="D26" s="50">
        <f>Referencias!F22</f>
        <v>0.5</v>
      </c>
      <c r="E26" s="50">
        <f t="shared" si="2"/>
        <v>2.5</v>
      </c>
      <c r="F26" s="18"/>
      <c r="G26" s="18"/>
      <c r="H26" s="18"/>
    </row>
    <row r="27" spans="1:13" ht="15.75" customHeight="1">
      <c r="A27" s="48" t="str">
        <f>Referencias!B235</f>
        <v>Lenço de Papel</v>
      </c>
      <c r="B27" s="49"/>
      <c r="C27" s="49">
        <v>40</v>
      </c>
      <c r="D27" s="50">
        <f>Referencias!F235</f>
        <v>0.2</v>
      </c>
      <c r="E27" s="50">
        <f t="shared" si="2"/>
        <v>8</v>
      </c>
      <c r="F27" s="18"/>
      <c r="G27" s="18"/>
      <c r="H27" s="18"/>
    </row>
    <row r="28" spans="1:13" ht="15.75" customHeight="1">
      <c r="A28" s="48" t="str">
        <f>Referencias!B234</f>
        <v>Saco Adesivo Transparente 6x12cm</v>
      </c>
      <c r="B28" s="49"/>
      <c r="C28" s="49">
        <v>40</v>
      </c>
      <c r="D28" s="50">
        <f>Referencias!F234</f>
        <v>7.0000000000000007E-2</v>
      </c>
      <c r="E28" s="50">
        <f t="shared" si="2"/>
        <v>2.8000000000000003</v>
      </c>
      <c r="F28" s="18"/>
      <c r="G28" s="18"/>
      <c r="H28" s="18"/>
    </row>
    <row r="29" spans="1:13" ht="15.75" customHeight="1">
      <c r="A29" s="48" t="str">
        <f>Referencias!B62</f>
        <v>Frete</v>
      </c>
      <c r="B29" s="51"/>
      <c r="C29" s="51"/>
      <c r="D29" s="50">
        <f>Referencias!F62</f>
        <v>0</v>
      </c>
      <c r="E29" s="50">
        <f t="shared" si="2"/>
        <v>0</v>
      </c>
      <c r="F29" s="18"/>
      <c r="G29" s="18"/>
      <c r="H29" s="18"/>
    </row>
    <row r="30" spans="1:13" ht="15.75" customHeight="1">
      <c r="A30" s="48" t="str">
        <f>Referencias!B14</f>
        <v>Desgaste Bloquinho/Outros</v>
      </c>
      <c r="B30" s="49"/>
      <c r="C30" s="49">
        <v>1</v>
      </c>
      <c r="D30" s="50">
        <f>Referencias!F14</f>
        <v>0.5</v>
      </c>
      <c r="E30" s="50">
        <f t="shared" si="2"/>
        <v>0.5</v>
      </c>
      <c r="F30" s="18"/>
      <c r="G30" s="18"/>
      <c r="H30" s="18"/>
    </row>
    <row r="31" spans="1:13" ht="15.75" customHeight="1">
      <c r="A31" s="48" t="str">
        <f>Referencias!B17</f>
        <v>Embalagem Padrão</v>
      </c>
      <c r="B31" s="49"/>
      <c r="C31" s="49">
        <v>1</v>
      </c>
      <c r="D31" s="50">
        <f>Referencias!F17</f>
        <v>1.5</v>
      </c>
      <c r="E31" s="50">
        <f t="shared" si="2"/>
        <v>1.5</v>
      </c>
      <c r="F31" s="18"/>
      <c r="G31" s="18"/>
      <c r="H31" s="18"/>
    </row>
    <row r="32" spans="1:13" ht="15.75" customHeight="1">
      <c r="A32" s="53" t="s">
        <v>312</v>
      </c>
      <c r="B32" s="51"/>
      <c r="C32" s="51"/>
      <c r="D32" s="51"/>
      <c r="E32" s="55">
        <f>SUM(E25:E31)</f>
        <v>15.8</v>
      </c>
      <c r="F32" s="18"/>
      <c r="G32" s="18"/>
      <c r="H32" s="18"/>
    </row>
    <row r="33" spans="1:8" ht="15.75" customHeight="1">
      <c r="A33" s="53" t="s">
        <v>313</v>
      </c>
      <c r="B33" s="56"/>
      <c r="C33" s="56">
        <v>0.55000000000000004</v>
      </c>
      <c r="D33" s="50">
        <f>E32*C33</f>
        <v>8.6900000000000013</v>
      </c>
      <c r="E33" s="55">
        <f>E32+D33</f>
        <v>24.490000000000002</v>
      </c>
      <c r="F33" s="94"/>
      <c r="G33" s="93"/>
      <c r="H33" s="93"/>
    </row>
    <row r="34" spans="1:8" ht="15.75" customHeight="1">
      <c r="A34" s="53" t="s">
        <v>314</v>
      </c>
      <c r="B34" s="64"/>
      <c r="C34" s="64">
        <v>30</v>
      </c>
      <c r="D34" s="65">
        <v>50</v>
      </c>
      <c r="E34" s="54"/>
      <c r="F34" s="31"/>
      <c r="G34" s="31"/>
      <c r="H34" s="31"/>
    </row>
    <row r="35" spans="1:8" ht="15.75" customHeight="1">
      <c r="A35" s="53" t="s">
        <v>315</v>
      </c>
      <c r="B35" s="66"/>
      <c r="C35" s="66">
        <v>50</v>
      </c>
      <c r="D35" s="67">
        <v>80</v>
      </c>
      <c r="E35" s="55">
        <v>50</v>
      </c>
      <c r="F35" s="34"/>
      <c r="G35" s="34"/>
      <c r="H35" s="34"/>
    </row>
    <row r="36" spans="1:8" ht="12.75">
      <c r="B36" s="14"/>
      <c r="C36" s="39">
        <f>(D35+C35)/2</f>
        <v>65</v>
      </c>
      <c r="H36" s="39"/>
    </row>
  </sheetData>
  <mergeCells count="6">
    <mergeCell ref="F33:H33"/>
    <mergeCell ref="A1:D1"/>
    <mergeCell ref="F8:H8"/>
    <mergeCell ref="A12:D12"/>
    <mergeCell ref="F20:H20"/>
    <mergeCell ref="A24:D2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55"/>
  <sheetViews>
    <sheetView workbookViewId="0">
      <selection sqref="A1:C1"/>
    </sheetView>
  </sheetViews>
  <sheetFormatPr defaultColWidth="12.5703125" defaultRowHeight="15.75" customHeight="1"/>
  <cols>
    <col min="1" max="1" width="25.5703125" customWidth="1"/>
    <col min="2" max="2" width="6.42578125" customWidth="1"/>
    <col min="3" max="4" width="7.7109375" customWidth="1"/>
    <col min="5" max="7" width="7.42578125" customWidth="1"/>
    <col min="9" max="9" width="10.42578125" customWidth="1"/>
    <col min="10" max="11" width="3.7109375" customWidth="1"/>
    <col min="12" max="12" width="5.5703125" customWidth="1"/>
    <col min="14" max="14" width="24.42578125" customWidth="1"/>
    <col min="15" max="16" width="2.85546875" customWidth="1"/>
    <col min="17" max="17" width="4.7109375" customWidth="1"/>
    <col min="18" max="18" width="4.28515625" customWidth="1"/>
  </cols>
  <sheetData>
    <row r="1" spans="1:18" ht="15.75" customHeight="1">
      <c r="A1" s="89" t="s">
        <v>377</v>
      </c>
      <c r="B1" s="90"/>
      <c r="C1" s="91"/>
      <c r="D1" s="11">
        <v>9.5</v>
      </c>
      <c r="I1" s="7"/>
      <c r="J1" s="8"/>
      <c r="K1" s="8"/>
      <c r="L1" s="8"/>
      <c r="N1" s="7"/>
      <c r="O1" s="8"/>
      <c r="P1" s="8"/>
      <c r="Q1" s="8"/>
      <c r="R1" s="31"/>
    </row>
    <row r="2" spans="1:18" ht="15.75" customHeight="1">
      <c r="A2" s="12" t="str">
        <f>Referencias!B75</f>
        <v>Plástico Cristal 1mx1,4m</v>
      </c>
      <c r="B2" s="68">
        <v>0.02</v>
      </c>
      <c r="C2" s="6">
        <f>Referencias!F75</f>
        <v>14.9</v>
      </c>
      <c r="D2" s="6">
        <f t="shared" ref="D2:D13" si="0">B2*C2</f>
        <v>0.29799999999999999</v>
      </c>
      <c r="I2" s="7"/>
      <c r="J2" s="8"/>
      <c r="K2" s="8"/>
      <c r="L2" s="8"/>
      <c r="Q2" s="8"/>
      <c r="R2" s="69"/>
    </row>
    <row r="3" spans="1:18" ht="15.75" customHeight="1">
      <c r="A3" s="12" t="str">
        <f>Referencias!B76</f>
        <v>Tecido Tricoline 1mx1,4m trevo</v>
      </c>
      <c r="B3" s="68">
        <v>0.06</v>
      </c>
      <c r="C3" s="6">
        <f>Referencias!F76</f>
        <v>33.799999999999997</v>
      </c>
      <c r="D3" s="6">
        <f t="shared" si="0"/>
        <v>2.0279999999999996</v>
      </c>
      <c r="I3" s="7"/>
      <c r="J3" s="8"/>
      <c r="K3" s="8"/>
      <c r="L3" s="8"/>
      <c r="N3" s="7"/>
      <c r="O3" s="31"/>
      <c r="P3" s="31"/>
      <c r="Q3" s="47"/>
      <c r="R3" s="31"/>
    </row>
    <row r="4" spans="1:18" ht="15.75" customHeight="1">
      <c r="A4" s="12" t="str">
        <f>Referencias!B77</f>
        <v>Botão de Pressão</v>
      </c>
      <c r="B4" s="13">
        <v>1</v>
      </c>
      <c r="C4" s="6">
        <f>Referencias!F77</f>
        <v>7.0000000000000007E-2</v>
      </c>
      <c r="D4" s="6">
        <f t="shared" si="0"/>
        <v>7.0000000000000007E-2</v>
      </c>
      <c r="N4" s="14"/>
      <c r="O4" s="8"/>
      <c r="P4" s="8"/>
      <c r="Q4" s="8"/>
      <c r="R4" s="31"/>
    </row>
    <row r="5" spans="1:18" ht="15.75" customHeight="1">
      <c r="A5" s="12" t="str">
        <f>Referencias!B78</f>
        <v>Manta R2 1mx1,4m</v>
      </c>
      <c r="B5" s="68">
        <v>0.02</v>
      </c>
      <c r="C5" s="6">
        <f>Referencias!F78</f>
        <v>27.8</v>
      </c>
      <c r="D5" s="6">
        <f t="shared" si="0"/>
        <v>0.55600000000000005</v>
      </c>
      <c r="N5" s="14"/>
      <c r="O5" s="8"/>
      <c r="P5" s="8"/>
      <c r="Q5" s="8"/>
      <c r="R5" s="31"/>
    </row>
    <row r="6" spans="1:18" ht="15.75" customHeight="1">
      <c r="A6" s="12" t="str">
        <f>Referencias!B79</f>
        <v>Vies 20m</v>
      </c>
      <c r="B6" s="12">
        <v>0.8</v>
      </c>
      <c r="C6" s="6">
        <f>Referencias!F79</f>
        <v>0.32</v>
      </c>
      <c r="D6" s="6">
        <f t="shared" si="0"/>
        <v>0.25600000000000001</v>
      </c>
      <c r="N6" s="14"/>
      <c r="O6" s="8"/>
      <c r="P6" s="8"/>
      <c r="Q6" s="8"/>
      <c r="R6" s="31"/>
    </row>
    <row r="7" spans="1:18" ht="15.75" customHeight="1">
      <c r="A7" s="12" t="str">
        <f>Referencias!B80</f>
        <v>Linha Dinner</v>
      </c>
      <c r="B7" s="12">
        <v>3.16</v>
      </c>
      <c r="C7" s="6">
        <f>Referencias!F80</f>
        <v>0.1</v>
      </c>
      <c r="D7" s="6">
        <f t="shared" si="0"/>
        <v>0.31600000000000006</v>
      </c>
      <c r="N7" s="31"/>
      <c r="O7" s="31"/>
      <c r="Q7" s="8"/>
      <c r="R7" s="69"/>
    </row>
    <row r="8" spans="1:18" ht="15.75" customHeight="1">
      <c r="A8" s="12" t="str">
        <f>Referencias!B81</f>
        <v>Etiqueta Cetim 1,5 10m</v>
      </c>
      <c r="B8" s="12">
        <v>0.1</v>
      </c>
      <c r="C8" s="6">
        <f>Referencias!F81</f>
        <v>0.25</v>
      </c>
      <c r="D8" s="6">
        <f t="shared" si="0"/>
        <v>2.5000000000000001E-2</v>
      </c>
      <c r="N8" s="7"/>
      <c r="O8" s="8"/>
      <c r="P8" s="8"/>
      <c r="Q8" s="8"/>
      <c r="R8" s="31"/>
    </row>
    <row r="9" spans="1:18" ht="15.75" customHeight="1">
      <c r="A9" s="12" t="str">
        <f>Referencias!B82</f>
        <v>Papel Transfer</v>
      </c>
      <c r="B9" s="12">
        <v>0.02</v>
      </c>
      <c r="C9" s="6">
        <f>Referencias!F82</f>
        <v>5.49</v>
      </c>
      <c r="D9" s="6">
        <f t="shared" si="0"/>
        <v>0.10980000000000001</v>
      </c>
      <c r="Q9" s="8"/>
      <c r="R9" s="69"/>
    </row>
    <row r="10" spans="1:18" ht="15.75" customHeight="1">
      <c r="A10" s="12" t="str">
        <f>Referencias!B83</f>
        <v>Impressão A4</v>
      </c>
      <c r="B10" s="12">
        <v>0.02</v>
      </c>
      <c r="C10" s="6">
        <f>Referencias!F83</f>
        <v>0.5</v>
      </c>
      <c r="D10" s="6">
        <f t="shared" si="0"/>
        <v>0.01</v>
      </c>
      <c r="N10" s="7"/>
      <c r="O10" s="31"/>
      <c r="P10" s="31"/>
      <c r="Q10" s="47"/>
      <c r="R10" s="31"/>
    </row>
    <row r="11" spans="1:18" ht="15.75" customHeight="1">
      <c r="A11" s="12" t="str">
        <f>Referencias!B62</f>
        <v>Frete</v>
      </c>
      <c r="B11" s="12"/>
      <c r="C11" s="6">
        <f>Referencias!F62</f>
        <v>0</v>
      </c>
      <c r="D11" s="6">
        <f t="shared" si="0"/>
        <v>0</v>
      </c>
      <c r="N11" s="14"/>
      <c r="O11" s="8"/>
      <c r="P11" s="8"/>
      <c r="Q11" s="8"/>
      <c r="R11" s="31"/>
    </row>
    <row r="12" spans="1:18" ht="15.75" customHeight="1">
      <c r="A12" s="12" t="str">
        <f>Referencias!B14</f>
        <v>Desgaste Bloquinho/Outros</v>
      </c>
      <c r="B12" s="13">
        <v>1</v>
      </c>
      <c r="C12" s="6">
        <f>Referencias!F14</f>
        <v>0.5</v>
      </c>
      <c r="D12" s="6">
        <f t="shared" si="0"/>
        <v>0.5</v>
      </c>
      <c r="N12" s="14"/>
      <c r="O12" s="8"/>
      <c r="P12" s="8"/>
      <c r="Q12" s="8"/>
      <c r="R12" s="31"/>
    </row>
    <row r="13" spans="1:18" ht="15.75" customHeight="1">
      <c r="A13" s="12" t="str">
        <f>Referencias!B17</f>
        <v>Embalagem Padrão</v>
      </c>
      <c r="B13" s="13">
        <v>1</v>
      </c>
      <c r="C13" s="6">
        <f>Referencias!F17</f>
        <v>1.5</v>
      </c>
      <c r="D13" s="6">
        <f t="shared" si="0"/>
        <v>1.5</v>
      </c>
      <c r="O13" s="31"/>
      <c r="P13" s="31"/>
      <c r="Q13" s="8"/>
      <c r="R13" s="9"/>
    </row>
    <row r="14" spans="1:18" ht="15.75" customHeight="1">
      <c r="A14" s="2" t="s">
        <v>312</v>
      </c>
      <c r="B14" s="12"/>
      <c r="C14" s="6"/>
      <c r="D14" s="3">
        <f>SUM(D2:D13)</f>
        <v>5.6687999999999992</v>
      </c>
    </row>
    <row r="15" spans="1:18" ht="15.75" customHeight="1">
      <c r="A15" s="2" t="s">
        <v>313</v>
      </c>
      <c r="B15" s="15">
        <v>0.55000000000000004</v>
      </c>
      <c r="C15" s="6">
        <f>D14*B15</f>
        <v>3.1178399999999997</v>
      </c>
      <c r="D15" s="3">
        <f>D14+C15</f>
        <v>8.7866399999999985</v>
      </c>
      <c r="E15" s="92"/>
      <c r="F15" s="93"/>
      <c r="G15" s="93"/>
    </row>
    <row r="16" spans="1:18" ht="15.75" customHeight="1">
      <c r="A16" s="2" t="s">
        <v>314</v>
      </c>
      <c r="B16" s="12"/>
      <c r="C16" s="10"/>
      <c r="D16" s="10"/>
      <c r="E16" s="7"/>
      <c r="F16" s="7"/>
      <c r="G16" s="7"/>
    </row>
    <row r="17" spans="1:18" ht="15.75" customHeight="1">
      <c r="A17" s="2" t="s">
        <v>315</v>
      </c>
      <c r="B17" s="12"/>
      <c r="C17" s="10"/>
      <c r="D17" s="11">
        <v>10</v>
      </c>
      <c r="E17" s="16"/>
      <c r="F17" s="16"/>
      <c r="G17" s="16"/>
      <c r="K17" s="31"/>
      <c r="L17" s="70"/>
    </row>
    <row r="19" spans="1:18" ht="15.75" customHeight="1">
      <c r="A19" s="89" t="s">
        <v>378</v>
      </c>
      <c r="B19" s="90"/>
      <c r="C19" s="91"/>
      <c r="D19" s="11">
        <v>15</v>
      </c>
      <c r="N19" s="7"/>
      <c r="O19" s="31"/>
      <c r="P19" s="31"/>
      <c r="Q19" s="47"/>
      <c r="R19" s="31"/>
    </row>
    <row r="20" spans="1:18" ht="15.75" customHeight="1">
      <c r="A20" s="12" t="str">
        <f>Referencias!B76</f>
        <v>Tecido Tricoline 1mx1,4m trevo</v>
      </c>
      <c r="B20" s="68">
        <v>0.22</v>
      </c>
      <c r="C20" s="6">
        <f>Referencias!F76</f>
        <v>33.799999999999997</v>
      </c>
      <c r="D20" s="6">
        <f t="shared" ref="D20:D27" si="1">B20*C20</f>
        <v>7.4359999999999991</v>
      </c>
      <c r="N20" s="31"/>
      <c r="O20" s="8"/>
      <c r="P20" s="8"/>
      <c r="Q20" s="8"/>
      <c r="R20" s="31"/>
    </row>
    <row r="21" spans="1:18" ht="15.75" customHeight="1">
      <c r="A21" s="12" t="str">
        <f>Referencias!B80</f>
        <v>Linha Dinner</v>
      </c>
      <c r="B21" s="13">
        <v>7.6</v>
      </c>
      <c r="C21" s="6">
        <f>Referencias!F80</f>
        <v>0.1</v>
      </c>
      <c r="D21" s="6">
        <f t="shared" si="1"/>
        <v>0.76</v>
      </c>
      <c r="N21" s="31"/>
      <c r="O21" s="8"/>
      <c r="P21" s="8"/>
      <c r="Q21" s="8"/>
      <c r="R21" s="31"/>
    </row>
    <row r="22" spans="1:18" ht="15.75" customHeight="1">
      <c r="A22" s="12" t="str">
        <f>Referencias!B81</f>
        <v>Etiqueta Cetim 1,5 10m</v>
      </c>
      <c r="B22" s="13">
        <v>0.1</v>
      </c>
      <c r="C22" s="6">
        <f>Referencias!F81</f>
        <v>0.25</v>
      </c>
      <c r="D22" s="6">
        <f t="shared" si="1"/>
        <v>2.5000000000000001E-2</v>
      </c>
      <c r="H22" s="7"/>
      <c r="I22" s="8"/>
      <c r="J22" s="31"/>
      <c r="K22" s="31"/>
      <c r="L22" s="9"/>
      <c r="N22" s="31"/>
      <c r="O22" s="8"/>
      <c r="P22" s="8"/>
      <c r="Q22" s="8"/>
      <c r="R22" s="31"/>
    </row>
    <row r="23" spans="1:18" ht="15.75" customHeight="1">
      <c r="A23" s="12" t="str">
        <f>Referencias!B82</f>
        <v>Papel Transfer</v>
      </c>
      <c r="B23" s="13">
        <v>0.02</v>
      </c>
      <c r="C23" s="6">
        <f>Referencias!F82</f>
        <v>5.49</v>
      </c>
      <c r="D23" s="6">
        <f t="shared" si="1"/>
        <v>0.10980000000000001</v>
      </c>
      <c r="N23" s="31"/>
      <c r="O23" s="31"/>
      <c r="Q23" s="8"/>
      <c r="R23" s="69"/>
    </row>
    <row r="24" spans="1:18" ht="15.75" customHeight="1">
      <c r="A24" s="12" t="str">
        <f>Referencias!B83</f>
        <v>Impressão A4</v>
      </c>
      <c r="B24" s="12">
        <v>0.02</v>
      </c>
      <c r="C24" s="6">
        <f>Referencias!F83</f>
        <v>0.5</v>
      </c>
      <c r="D24" s="6">
        <f t="shared" si="1"/>
        <v>0.01</v>
      </c>
      <c r="H24" s="31"/>
      <c r="I24" s="31"/>
      <c r="J24" s="31"/>
      <c r="K24" s="31"/>
      <c r="L24" s="31"/>
      <c r="N24" s="7"/>
      <c r="O24" s="31"/>
      <c r="P24" s="31"/>
      <c r="Q24" s="47"/>
    </row>
    <row r="25" spans="1:18" ht="15.75" customHeight="1">
      <c r="A25" s="12" t="str">
        <f>Referencias!B62</f>
        <v>Frete</v>
      </c>
      <c r="B25" s="13"/>
      <c r="C25" s="6">
        <f>Referencias!F62</f>
        <v>0</v>
      </c>
      <c r="D25" s="6">
        <f t="shared" si="1"/>
        <v>0</v>
      </c>
      <c r="H25" s="31"/>
      <c r="I25" s="31"/>
      <c r="J25" s="31"/>
      <c r="K25" s="31"/>
      <c r="L25" s="31"/>
      <c r="N25" s="31"/>
      <c r="O25" s="8"/>
      <c r="P25" s="8"/>
      <c r="Q25" s="8"/>
    </row>
    <row r="26" spans="1:18" ht="15.75" customHeight="1">
      <c r="A26" s="12" t="str">
        <f>Referencias!B14</f>
        <v>Desgaste Bloquinho/Outros</v>
      </c>
      <c r="B26" s="13">
        <v>1</v>
      </c>
      <c r="C26" s="6">
        <f>Referencias!F14</f>
        <v>0.5</v>
      </c>
      <c r="D26" s="6">
        <f t="shared" si="1"/>
        <v>0.5</v>
      </c>
      <c r="H26" s="71"/>
      <c r="I26" s="31"/>
      <c r="J26" s="71"/>
      <c r="K26" s="31"/>
      <c r="L26" s="31"/>
      <c r="N26" s="14"/>
      <c r="O26" s="8"/>
      <c r="P26" s="8"/>
      <c r="Q26" s="8"/>
    </row>
    <row r="27" spans="1:18" ht="15.75" customHeight="1">
      <c r="A27" s="12" t="str">
        <f>Referencias!B17</f>
        <v>Embalagem Padrão</v>
      </c>
      <c r="B27" s="13">
        <v>1</v>
      </c>
      <c r="C27" s="6">
        <f>Referencias!F17</f>
        <v>1.5</v>
      </c>
      <c r="D27" s="6">
        <f t="shared" si="1"/>
        <v>1.5</v>
      </c>
      <c r="H27" s="71"/>
      <c r="I27" s="31"/>
      <c r="J27" s="71"/>
      <c r="K27" s="31"/>
      <c r="L27" s="31"/>
      <c r="N27" s="14"/>
      <c r="O27" s="8"/>
      <c r="P27" s="8"/>
      <c r="Q27" s="8"/>
    </row>
    <row r="28" spans="1:18" ht="15.75" customHeight="1">
      <c r="A28" s="2" t="s">
        <v>312</v>
      </c>
      <c r="B28" s="12"/>
      <c r="C28" s="6"/>
      <c r="D28" s="3">
        <f>SUM(D20:D27)</f>
        <v>10.3408</v>
      </c>
      <c r="H28" s="31"/>
      <c r="I28" s="31"/>
      <c r="J28" s="31"/>
      <c r="K28" s="31"/>
      <c r="L28" s="31"/>
      <c r="O28" s="31"/>
      <c r="P28" s="31"/>
      <c r="Q28" s="8"/>
    </row>
    <row r="29" spans="1:18" ht="15.75" customHeight="1">
      <c r="A29" s="2" t="s">
        <v>313</v>
      </c>
      <c r="B29" s="15">
        <v>0.55000000000000004</v>
      </c>
      <c r="C29" s="6">
        <f>D28*B29</f>
        <v>5.6874400000000005</v>
      </c>
      <c r="D29" s="3">
        <f>D28+C29</f>
        <v>16.02824</v>
      </c>
      <c r="E29" s="92"/>
      <c r="F29" s="93"/>
      <c r="G29" s="93"/>
      <c r="H29" s="31"/>
      <c r="I29" s="31"/>
      <c r="J29" s="31"/>
      <c r="K29" s="31"/>
      <c r="L29" s="31"/>
    </row>
    <row r="30" spans="1:18" ht="15.75" customHeight="1">
      <c r="A30" s="2" t="s">
        <v>314</v>
      </c>
      <c r="B30" s="12"/>
      <c r="C30" s="10"/>
      <c r="D30" s="10"/>
      <c r="E30" s="7"/>
      <c r="F30" s="7"/>
      <c r="G30" s="7"/>
      <c r="H30" s="31"/>
      <c r="I30" s="31"/>
      <c r="J30" s="31"/>
      <c r="K30" s="31"/>
      <c r="L30" s="31"/>
    </row>
    <row r="31" spans="1:18" ht="15.75" customHeight="1">
      <c r="A31" s="2" t="s">
        <v>315</v>
      </c>
      <c r="B31" s="12"/>
      <c r="C31" s="10"/>
      <c r="D31" s="11">
        <v>20</v>
      </c>
      <c r="E31" s="16"/>
      <c r="F31" s="16"/>
      <c r="G31" s="16"/>
      <c r="H31" s="31"/>
      <c r="I31" s="31"/>
      <c r="J31" s="31"/>
      <c r="K31" s="31"/>
      <c r="L31" s="31"/>
      <c r="M31" s="31"/>
      <c r="N31" s="31"/>
    </row>
    <row r="32" spans="1:18" ht="15.75" customHeight="1">
      <c r="F32" s="31"/>
      <c r="G32" s="31"/>
      <c r="H32" s="31"/>
      <c r="I32" s="31"/>
      <c r="J32" s="31"/>
      <c r="K32" s="31"/>
      <c r="L32" s="31"/>
      <c r="M32" s="31"/>
      <c r="N32" s="31"/>
    </row>
    <row r="33" spans="1:20" ht="15.75" customHeight="1">
      <c r="A33" s="89" t="s">
        <v>379</v>
      </c>
      <c r="B33" s="90"/>
      <c r="C33" s="91"/>
      <c r="D33" s="11">
        <v>15</v>
      </c>
      <c r="H33" s="7"/>
      <c r="I33" s="31"/>
      <c r="J33" s="31"/>
      <c r="K33" s="31"/>
      <c r="L33" s="31"/>
      <c r="M33" s="31"/>
      <c r="N33" s="7"/>
      <c r="O33" s="31"/>
      <c r="P33" s="31"/>
      <c r="Q33" s="47"/>
      <c r="R33" s="31"/>
    </row>
    <row r="34" spans="1:20" ht="15.75" customHeight="1">
      <c r="A34" s="12" t="str">
        <f>Referencias!B76</f>
        <v>Tecido Tricoline 1mx1,4m trevo</v>
      </c>
      <c r="B34" s="68">
        <v>0.38</v>
      </c>
      <c r="C34" s="6">
        <v>40</v>
      </c>
      <c r="D34" s="6">
        <f t="shared" ref="D34:D41" si="2">B34*C34</f>
        <v>15.2</v>
      </c>
      <c r="H34" s="9"/>
      <c r="I34" s="31"/>
      <c r="J34" s="31"/>
      <c r="K34" s="31"/>
      <c r="L34" s="31"/>
      <c r="M34" s="31"/>
      <c r="N34" s="31"/>
      <c r="O34" s="8"/>
      <c r="P34" s="8"/>
      <c r="Q34" s="8"/>
      <c r="R34" s="31"/>
      <c r="S34" s="14"/>
      <c r="T34" s="14"/>
    </row>
    <row r="35" spans="1:20" ht="15.75" customHeight="1">
      <c r="A35" s="12" t="str">
        <f>Referencias!B80</f>
        <v>Linha Dinner</v>
      </c>
      <c r="B35" s="13">
        <v>7.6</v>
      </c>
      <c r="C35" s="6">
        <f>Referencias!F80</f>
        <v>0.1</v>
      </c>
      <c r="D35" s="6">
        <f t="shared" si="2"/>
        <v>0.76</v>
      </c>
      <c r="H35" s="9"/>
      <c r="I35" s="7"/>
      <c r="J35" s="31"/>
      <c r="K35" s="31"/>
      <c r="L35" s="31"/>
      <c r="M35" s="31"/>
      <c r="N35" s="31"/>
      <c r="O35" s="8"/>
      <c r="P35" s="8"/>
      <c r="Q35" s="8"/>
      <c r="R35" s="31"/>
      <c r="S35" s="14"/>
      <c r="T35" s="14"/>
    </row>
    <row r="36" spans="1:20" ht="15.75" customHeight="1">
      <c r="A36" s="12" t="str">
        <f>Referencias!B81</f>
        <v>Etiqueta Cetim 1,5 10m</v>
      </c>
      <c r="B36" s="13">
        <v>0.25</v>
      </c>
      <c r="C36" s="6">
        <f>Referencias!F81</f>
        <v>0.25</v>
      </c>
      <c r="D36" s="6">
        <f t="shared" si="2"/>
        <v>6.25E-2</v>
      </c>
      <c r="H36" s="31"/>
      <c r="I36" s="31"/>
      <c r="J36" s="31"/>
      <c r="K36" s="31"/>
      <c r="L36" s="31"/>
      <c r="M36" s="31"/>
      <c r="N36" s="31"/>
      <c r="O36" s="8"/>
      <c r="P36" s="8"/>
      <c r="Q36" s="8"/>
      <c r="R36" s="31"/>
    </row>
    <row r="37" spans="1:20" ht="15">
      <c r="A37" s="12" t="str">
        <f>Referencias!B82</f>
        <v>Papel Transfer</v>
      </c>
      <c r="B37" s="13">
        <v>0.02</v>
      </c>
      <c r="C37" s="6">
        <f>Referencias!F82</f>
        <v>5.49</v>
      </c>
      <c r="D37" s="6">
        <f t="shared" si="2"/>
        <v>0.10980000000000001</v>
      </c>
      <c r="H37" s="31"/>
      <c r="I37" s="31"/>
      <c r="J37" s="31"/>
      <c r="K37" s="31"/>
      <c r="L37" s="31"/>
      <c r="M37" s="31"/>
      <c r="N37" s="31"/>
      <c r="O37" s="31"/>
      <c r="Q37" s="8"/>
      <c r="R37" s="69"/>
      <c r="S37" s="14"/>
    </row>
    <row r="38" spans="1:20" ht="15">
      <c r="A38" s="12" t="str">
        <f>Referencias!B83</f>
        <v>Impressão A4</v>
      </c>
      <c r="B38" s="12">
        <v>0.02</v>
      </c>
      <c r="C38" s="6">
        <f>Referencias!F83</f>
        <v>0.5</v>
      </c>
      <c r="D38" s="6">
        <f t="shared" si="2"/>
        <v>0.01</v>
      </c>
      <c r="H38" s="31"/>
      <c r="I38" s="31"/>
      <c r="J38" s="31"/>
      <c r="K38" s="31"/>
      <c r="L38" s="31"/>
      <c r="M38" s="31"/>
      <c r="N38" s="7"/>
      <c r="O38" s="31"/>
      <c r="P38" s="31"/>
      <c r="Q38" s="47"/>
    </row>
    <row r="39" spans="1:20" ht="15">
      <c r="A39" s="12" t="str">
        <f>Referencias!B62</f>
        <v>Frete</v>
      </c>
      <c r="B39" s="13"/>
      <c r="C39" s="6">
        <f>Referencias!F62</f>
        <v>0</v>
      </c>
      <c r="D39" s="6">
        <f t="shared" si="2"/>
        <v>0</v>
      </c>
      <c r="H39" s="31"/>
      <c r="I39" s="31"/>
      <c r="J39" s="31"/>
      <c r="K39" s="31"/>
      <c r="L39" s="31"/>
      <c r="M39" s="31"/>
      <c r="N39" s="31"/>
      <c r="O39" s="8"/>
      <c r="P39" s="8"/>
      <c r="Q39" s="8"/>
    </row>
    <row r="40" spans="1:20" ht="15">
      <c r="A40" s="12" t="str">
        <f>Referencias!B14</f>
        <v>Desgaste Bloquinho/Outros</v>
      </c>
      <c r="B40" s="13">
        <v>1</v>
      </c>
      <c r="C40" s="6">
        <f>Referencias!F14</f>
        <v>0.5</v>
      </c>
      <c r="D40" s="6">
        <f t="shared" si="2"/>
        <v>0.5</v>
      </c>
      <c r="H40" s="31"/>
      <c r="I40" s="31"/>
      <c r="J40" s="31"/>
      <c r="K40" s="31"/>
      <c r="L40" s="31"/>
      <c r="M40" s="31"/>
      <c r="N40" s="14"/>
      <c r="O40" s="8"/>
      <c r="P40" s="8"/>
      <c r="Q40" s="8"/>
    </row>
    <row r="41" spans="1:20" ht="15">
      <c r="A41" s="12" t="str">
        <f>Referencias!B17</f>
        <v>Embalagem Padrão</v>
      </c>
      <c r="B41" s="13">
        <v>1</v>
      </c>
      <c r="C41" s="6">
        <f>Referencias!F17</f>
        <v>1.5</v>
      </c>
      <c r="D41" s="6">
        <f t="shared" si="2"/>
        <v>1.5</v>
      </c>
      <c r="H41" s="31"/>
      <c r="I41" s="31"/>
      <c r="J41" s="31"/>
      <c r="K41" s="31"/>
      <c r="L41" s="31"/>
      <c r="M41" s="31"/>
      <c r="N41" s="14"/>
      <c r="O41" s="8"/>
      <c r="P41" s="8"/>
      <c r="Q41" s="8"/>
    </row>
    <row r="42" spans="1:20" ht="15">
      <c r="A42" s="2" t="s">
        <v>312</v>
      </c>
      <c r="B42" s="12"/>
      <c r="C42" s="6"/>
      <c r="D42" s="3">
        <f>SUM(D34:D41)</f>
        <v>18.142300000000002</v>
      </c>
      <c r="M42" s="31"/>
      <c r="O42" s="31"/>
      <c r="P42" s="31"/>
      <c r="Q42" s="8"/>
      <c r="R42" s="14"/>
    </row>
    <row r="43" spans="1:20" ht="15">
      <c r="A43" s="2" t="s">
        <v>313</v>
      </c>
      <c r="B43" s="15">
        <v>0.55000000000000004</v>
      </c>
      <c r="C43" s="6">
        <f>D42*B43</f>
        <v>9.9782650000000022</v>
      </c>
      <c r="D43" s="3">
        <f>D42+C43</f>
        <v>28.120565000000006</v>
      </c>
      <c r="E43" s="92"/>
      <c r="F43" s="93"/>
      <c r="G43" s="93"/>
      <c r="M43" s="31"/>
      <c r="N43" s="31"/>
    </row>
    <row r="44" spans="1:20" ht="15">
      <c r="A44" s="2" t="s">
        <v>314</v>
      </c>
      <c r="B44" s="12"/>
      <c r="C44" s="10"/>
      <c r="D44" s="10"/>
      <c r="E44" s="7"/>
      <c r="F44" s="7"/>
      <c r="G44" s="7"/>
      <c r="M44" s="31"/>
      <c r="N44" s="31"/>
    </row>
    <row r="45" spans="1:20" ht="15">
      <c r="A45" s="2" t="s">
        <v>315</v>
      </c>
      <c r="B45" s="12"/>
      <c r="C45" s="10"/>
      <c r="D45" s="11">
        <v>30</v>
      </c>
      <c r="E45" s="16"/>
      <c r="F45" s="16"/>
      <c r="G45" s="16"/>
      <c r="M45" s="31"/>
      <c r="N45" s="31"/>
    </row>
    <row r="46" spans="1:20" ht="15">
      <c r="E46" s="7"/>
      <c r="F46" s="9"/>
      <c r="G46" s="9"/>
      <c r="M46" s="31"/>
      <c r="N46" s="31"/>
    </row>
    <row r="47" spans="1:20" ht="15">
      <c r="E47" s="31"/>
      <c r="F47" s="8"/>
      <c r="G47" s="8"/>
      <c r="M47" s="31"/>
      <c r="N47" s="31"/>
    </row>
    <row r="48" spans="1:20" ht="15">
      <c r="A48" s="7"/>
      <c r="B48" s="31"/>
      <c r="C48" s="31"/>
      <c r="D48" s="31"/>
      <c r="E48" s="31"/>
      <c r="F48" s="8"/>
      <c r="G48" s="31"/>
      <c r="M48" s="31"/>
      <c r="N48" s="31"/>
    </row>
    <row r="49" spans="1:14" ht="15">
      <c r="A49" s="7"/>
      <c r="B49" s="72"/>
      <c r="C49" s="31"/>
      <c r="D49" s="31"/>
      <c r="E49" s="31"/>
      <c r="F49" s="31"/>
      <c r="G49" s="31"/>
      <c r="M49" s="31"/>
      <c r="N49" s="31"/>
    </row>
    <row r="50" spans="1:14" ht="15">
      <c r="A50" s="31"/>
      <c r="B50" s="31"/>
      <c r="C50" s="31"/>
      <c r="D50" s="31"/>
      <c r="E50" s="31"/>
      <c r="F50" s="31"/>
      <c r="G50" s="31"/>
      <c r="M50" s="31"/>
      <c r="N50" s="31"/>
    </row>
    <row r="51" spans="1:14" ht="15">
      <c r="A51" s="31"/>
      <c r="B51" s="31"/>
      <c r="C51" s="31"/>
      <c r="D51" s="31"/>
      <c r="E51" s="31"/>
      <c r="F51" s="31"/>
      <c r="G51" s="31"/>
      <c r="M51" s="31"/>
      <c r="N51" s="31"/>
    </row>
    <row r="52" spans="1:14" ht="15">
      <c r="A52" s="31"/>
      <c r="B52" s="31"/>
      <c r="C52" s="31"/>
      <c r="D52" s="31"/>
      <c r="E52" s="31"/>
      <c r="F52" s="31"/>
      <c r="G52" s="31"/>
      <c r="M52" s="31"/>
      <c r="N52" s="31"/>
    </row>
    <row r="53" spans="1:14" ht="15">
      <c r="A53" s="31"/>
      <c r="B53" s="31"/>
      <c r="C53" s="31"/>
      <c r="D53" s="31"/>
    </row>
    <row r="54" spans="1:14" ht="15">
      <c r="A54" s="31"/>
      <c r="B54" s="31"/>
      <c r="C54" s="31"/>
      <c r="D54" s="31"/>
    </row>
    <row r="55" spans="1:14" ht="15">
      <c r="A55" s="31"/>
      <c r="B55" s="31"/>
      <c r="C55" s="31"/>
      <c r="D55" s="31"/>
    </row>
  </sheetData>
  <mergeCells count="6">
    <mergeCell ref="E43:G43"/>
    <mergeCell ref="A1:C1"/>
    <mergeCell ref="E15:G15"/>
    <mergeCell ref="A19:C19"/>
    <mergeCell ref="E29:G29"/>
    <mergeCell ref="A33:C3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95"/>
  <sheetViews>
    <sheetView workbookViewId="0">
      <selection sqref="A1:C1"/>
    </sheetView>
  </sheetViews>
  <sheetFormatPr defaultColWidth="12.5703125" defaultRowHeight="15.75" customHeight="1"/>
  <cols>
    <col min="1" max="1" width="29.140625" customWidth="1"/>
    <col min="2" max="2" width="11" customWidth="1"/>
    <col min="3" max="4" width="7.7109375" customWidth="1"/>
    <col min="5" max="7" width="8.42578125" customWidth="1"/>
    <col min="9" max="9" width="18.85546875" customWidth="1"/>
    <col min="10" max="10" width="13.42578125" customWidth="1"/>
    <col min="11" max="11" width="13.28515625" customWidth="1"/>
  </cols>
  <sheetData>
    <row r="1" spans="1:13" ht="15.75" customHeight="1">
      <c r="A1" s="89" t="s">
        <v>380</v>
      </c>
      <c r="B1" s="90"/>
      <c r="C1" s="91"/>
      <c r="D1" s="3">
        <v>50</v>
      </c>
      <c r="I1" s="73"/>
      <c r="J1" s="7"/>
      <c r="K1" s="7"/>
      <c r="L1" s="95"/>
      <c r="M1" s="93"/>
    </row>
    <row r="2" spans="1:13" ht="15.75" customHeight="1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2" si="0">B2*C2</f>
        <v>3</v>
      </c>
      <c r="I2" s="7"/>
      <c r="J2" s="7"/>
      <c r="K2" s="7"/>
      <c r="L2" s="95"/>
      <c r="M2" s="93"/>
    </row>
    <row r="3" spans="1:13" ht="15.75" customHeight="1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  <c r="I3" s="7"/>
      <c r="J3" s="8"/>
      <c r="K3" s="9"/>
      <c r="L3" s="74"/>
      <c r="M3" s="9"/>
    </row>
    <row r="4" spans="1:13" ht="15.75" customHeight="1">
      <c r="A4" s="12" t="str">
        <f>Referencias!B31</f>
        <v>bopp</v>
      </c>
      <c r="B4" s="13">
        <f>2*0.3</f>
        <v>0.6</v>
      </c>
      <c r="C4" s="6">
        <f>Referencias!F31</f>
        <v>0.45</v>
      </c>
      <c r="D4" s="6">
        <f t="shared" si="0"/>
        <v>0.27</v>
      </c>
      <c r="I4" s="7"/>
      <c r="J4" s="8"/>
      <c r="K4" s="9"/>
      <c r="L4" s="9"/>
      <c r="M4" s="9"/>
    </row>
    <row r="5" spans="1:13" ht="15.75" customHeight="1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  <c r="I5" s="7"/>
      <c r="J5" s="8"/>
      <c r="K5" s="9"/>
      <c r="L5" s="74"/>
      <c r="M5" s="9"/>
    </row>
    <row r="6" spans="1:13" ht="15.75" customHeight="1">
      <c r="A6" s="12" t="str">
        <f>Referencias!B45</f>
        <v>miolo 90gr A5</v>
      </c>
      <c r="B6" s="13">
        <v>80</v>
      </c>
      <c r="C6" s="6">
        <f>Referencias!F45</f>
        <v>0.05</v>
      </c>
      <c r="D6" s="6">
        <f t="shared" si="0"/>
        <v>4</v>
      </c>
      <c r="I6" s="7"/>
      <c r="J6" s="8"/>
      <c r="K6" s="9"/>
      <c r="L6" s="9"/>
      <c r="M6" s="9"/>
    </row>
    <row r="7" spans="1:13" ht="15.75" customHeight="1">
      <c r="A7" s="12" t="str">
        <f>Referencias!B69</f>
        <v>Espiral 20mm</v>
      </c>
      <c r="B7" s="13">
        <v>1</v>
      </c>
      <c r="C7" s="6">
        <f>Referencias!F69</f>
        <v>0.64</v>
      </c>
      <c r="D7" s="6">
        <f t="shared" si="0"/>
        <v>0.64</v>
      </c>
      <c r="I7" s="7"/>
      <c r="J7" s="8"/>
      <c r="K7" s="9"/>
      <c r="L7" s="9"/>
      <c r="M7" s="9"/>
    </row>
    <row r="8" spans="1:13" ht="15.75" customHeight="1">
      <c r="A8" s="12" t="str">
        <f>Referencias!B22</f>
        <v>Impressao Capa A4</v>
      </c>
      <c r="B8" s="13">
        <v>2</v>
      </c>
      <c r="C8" s="6">
        <f>Referencias!F22</f>
        <v>0.5</v>
      </c>
      <c r="D8" s="6">
        <f t="shared" si="0"/>
        <v>1</v>
      </c>
      <c r="I8" s="7"/>
      <c r="J8" s="8"/>
      <c r="K8" s="9"/>
      <c r="L8" s="74"/>
      <c r="M8" s="9"/>
    </row>
    <row r="9" spans="1:13" ht="15.75" customHeight="1">
      <c r="A9" s="12" t="str">
        <f>Referencias!B29</f>
        <v>Impressao Miolo Frente Verso A5</v>
      </c>
      <c r="B9" s="13">
        <v>80</v>
      </c>
      <c r="C9" s="6">
        <f>Referencias!F29</f>
        <v>0.06</v>
      </c>
      <c r="D9" s="6">
        <f t="shared" si="0"/>
        <v>4.8</v>
      </c>
      <c r="I9" s="7"/>
      <c r="J9" s="7"/>
      <c r="K9" s="9"/>
      <c r="L9" s="74"/>
      <c r="M9" s="9"/>
    </row>
    <row r="10" spans="1:13" ht="15.75" customHeight="1">
      <c r="A10" s="12" t="str">
        <f>Referencias!B62</f>
        <v>Frete</v>
      </c>
      <c r="B10" s="12"/>
      <c r="C10" s="6">
        <f>Referencias!F62</f>
        <v>0</v>
      </c>
      <c r="D10" s="6">
        <f t="shared" si="0"/>
        <v>0</v>
      </c>
    </row>
    <row r="11" spans="1:13" ht="15.75" customHeight="1">
      <c r="A11" s="12" t="str">
        <f>Referencias!B15</f>
        <v>Desgaste Caderno A5</v>
      </c>
      <c r="B11" s="13">
        <v>1</v>
      </c>
      <c r="C11" s="6">
        <f>Referencias!F15</f>
        <v>2</v>
      </c>
      <c r="D11" s="6">
        <f t="shared" si="0"/>
        <v>2</v>
      </c>
      <c r="I11" s="73"/>
      <c r="J11" s="7"/>
      <c r="K11" s="7"/>
      <c r="L11" s="95"/>
      <c r="M11" s="93"/>
    </row>
    <row r="12" spans="1:13" ht="15.75" customHeight="1">
      <c r="A12" s="12" t="str">
        <f>Referencias!B17</f>
        <v>Embalagem Padrão</v>
      </c>
      <c r="B12" s="13">
        <v>1</v>
      </c>
      <c r="C12" s="6">
        <f>Referencias!F17</f>
        <v>1.5</v>
      </c>
      <c r="D12" s="6">
        <f t="shared" si="0"/>
        <v>1.5</v>
      </c>
      <c r="I12" s="7"/>
      <c r="J12" s="7"/>
      <c r="K12" s="7"/>
      <c r="L12" s="95"/>
      <c r="M12" s="93"/>
    </row>
    <row r="13" spans="1:13" ht="15.75" customHeight="1">
      <c r="A13" s="2" t="s">
        <v>312</v>
      </c>
      <c r="B13" s="12"/>
      <c r="C13" s="10"/>
      <c r="D13" s="3">
        <f>SUM(D2:D12)</f>
        <v>20.309999999999999</v>
      </c>
      <c r="I13" s="7"/>
      <c r="J13" s="8"/>
      <c r="K13" s="9"/>
      <c r="L13" s="74"/>
      <c r="M13" s="9"/>
    </row>
    <row r="14" spans="1:13" ht="15.75" customHeight="1">
      <c r="A14" s="2" t="s">
        <v>313</v>
      </c>
      <c r="B14" s="15">
        <v>0.55000000000000004</v>
      </c>
      <c r="C14" s="6">
        <f>D13*B14</f>
        <v>11.170500000000001</v>
      </c>
      <c r="D14" s="3">
        <f>D13+C14</f>
        <v>31.480499999999999</v>
      </c>
      <c r="E14" s="92"/>
      <c r="F14" s="93"/>
      <c r="G14" s="93"/>
      <c r="I14" s="7"/>
      <c r="J14" s="8"/>
      <c r="K14" s="9"/>
      <c r="L14" s="9"/>
      <c r="M14" s="9"/>
    </row>
    <row r="15" spans="1:13" ht="15.75" customHeight="1">
      <c r="A15" s="2" t="s">
        <v>314</v>
      </c>
      <c r="B15" s="40" t="s">
        <v>330</v>
      </c>
      <c r="C15" s="36" t="s">
        <v>331</v>
      </c>
      <c r="D15" s="10"/>
      <c r="E15" s="7"/>
      <c r="F15" s="7"/>
      <c r="G15" s="7"/>
      <c r="I15" s="7"/>
      <c r="J15" s="8"/>
      <c r="K15" s="9"/>
      <c r="L15" s="74"/>
      <c r="M15" s="9"/>
    </row>
    <row r="16" spans="1:13" ht="15.75" customHeight="1">
      <c r="A16" s="2" t="s">
        <v>315</v>
      </c>
      <c r="B16" s="37"/>
      <c r="C16" s="41"/>
      <c r="D16" s="3">
        <v>60</v>
      </c>
      <c r="E16" s="16"/>
      <c r="F16" s="16"/>
      <c r="G16" s="16"/>
      <c r="I16" s="7"/>
      <c r="J16" s="8"/>
      <c r="K16" s="9"/>
      <c r="L16" s="9"/>
      <c r="M16" s="9"/>
    </row>
    <row r="17" spans="1:14" ht="15.75" customHeight="1">
      <c r="I17" s="7"/>
      <c r="J17" s="8"/>
      <c r="K17" s="9"/>
      <c r="L17" s="9"/>
      <c r="M17" s="9"/>
    </row>
    <row r="18" spans="1:14" ht="15.75" customHeight="1">
      <c r="A18" s="89" t="s">
        <v>381</v>
      </c>
      <c r="B18" s="90"/>
      <c r="C18" s="91"/>
      <c r="D18" s="3">
        <v>75</v>
      </c>
      <c r="I18" s="7"/>
      <c r="J18" s="8"/>
      <c r="K18" s="9"/>
      <c r="L18" s="74"/>
      <c r="M18" s="9"/>
    </row>
    <row r="19" spans="1:14" ht="15.75" customHeight="1">
      <c r="A19" s="12" t="str">
        <f>Referencias!B58</f>
        <v>Papelão 16x22</v>
      </c>
      <c r="B19" s="13">
        <v>2</v>
      </c>
      <c r="C19" s="6">
        <f>Referencias!F58</f>
        <v>1.5</v>
      </c>
      <c r="D19" s="6">
        <f t="shared" ref="D19:D29" si="1">B19*C19</f>
        <v>3</v>
      </c>
      <c r="I19" s="7"/>
      <c r="J19" s="7"/>
      <c r="K19" s="9"/>
      <c r="L19" s="74"/>
      <c r="M19" s="9"/>
      <c r="N19" s="75"/>
    </row>
    <row r="20" spans="1:14" ht="15.75" customHeight="1">
      <c r="A20" s="12" t="str">
        <f>Referencias!B53</f>
        <v>Papel fotografico A4</v>
      </c>
      <c r="B20" s="13">
        <v>2</v>
      </c>
      <c r="C20" s="6">
        <f>Referencias!F53</f>
        <v>0.8</v>
      </c>
      <c r="D20" s="6">
        <f t="shared" si="1"/>
        <v>1.6</v>
      </c>
    </row>
    <row r="21" spans="1:14" ht="15.75" customHeight="1">
      <c r="A21" s="12" t="str">
        <f>Referencias!B31</f>
        <v>bopp</v>
      </c>
      <c r="B21" s="13">
        <f>2*0.3</f>
        <v>0.6</v>
      </c>
      <c r="C21" s="6">
        <f>Referencias!F31</f>
        <v>0.45</v>
      </c>
      <c r="D21" s="6">
        <f t="shared" si="1"/>
        <v>0.27</v>
      </c>
    </row>
    <row r="22" spans="1:14" ht="15.75" customHeight="1">
      <c r="A22" s="12" t="str">
        <f>Referencias!B48</f>
        <v>Papel guarda 15,5x21,5 offset adesivo</v>
      </c>
      <c r="B22" s="13">
        <v>2</v>
      </c>
      <c r="C22" s="6">
        <f>Referencias!F48</f>
        <v>0.75</v>
      </c>
      <c r="D22" s="6">
        <f t="shared" si="1"/>
        <v>1.5</v>
      </c>
    </row>
    <row r="23" spans="1:14" ht="15.75" customHeight="1">
      <c r="A23" s="12" t="str">
        <f>Referencias!B45</f>
        <v>miolo 90gr A5</v>
      </c>
      <c r="B23" s="13">
        <v>150</v>
      </c>
      <c r="C23" s="6">
        <f>Referencias!F45</f>
        <v>0.05</v>
      </c>
      <c r="D23" s="6">
        <f t="shared" si="1"/>
        <v>7.5</v>
      </c>
    </row>
    <row r="24" spans="1:14" ht="15.75" customHeight="1">
      <c r="A24" s="12" t="str">
        <f>Referencias!B20</f>
        <v>Espiral 33mm</v>
      </c>
      <c r="B24" s="13">
        <v>1</v>
      </c>
      <c r="C24" s="6">
        <f>Referencias!F20</f>
        <v>4</v>
      </c>
      <c r="D24" s="6">
        <f t="shared" si="1"/>
        <v>4</v>
      </c>
    </row>
    <row r="25" spans="1:14" ht="15.75" customHeight="1">
      <c r="A25" s="12" t="str">
        <f>Referencias!B22</f>
        <v>Impressao Capa A4</v>
      </c>
      <c r="B25" s="13">
        <v>2</v>
      </c>
      <c r="C25" s="6">
        <f>Referencias!F22</f>
        <v>0.5</v>
      </c>
      <c r="D25" s="6">
        <f t="shared" si="1"/>
        <v>1</v>
      </c>
    </row>
    <row r="26" spans="1:14" ht="15.75" customHeight="1">
      <c r="A26" s="12" t="str">
        <f>Referencias!B29</f>
        <v>Impressao Miolo Frente Verso A5</v>
      </c>
      <c r="B26" s="13">
        <v>150</v>
      </c>
      <c r="C26" s="6">
        <f>Referencias!F29</f>
        <v>0.06</v>
      </c>
      <c r="D26" s="6">
        <f t="shared" si="1"/>
        <v>9</v>
      </c>
    </row>
    <row r="27" spans="1:14" ht="15.75" customHeight="1">
      <c r="A27" s="12" t="str">
        <f>Referencias!B62</f>
        <v>Frete</v>
      </c>
      <c r="B27" s="12"/>
      <c r="C27" s="6">
        <f>Referencias!F62</f>
        <v>0</v>
      </c>
      <c r="D27" s="6">
        <f t="shared" si="1"/>
        <v>0</v>
      </c>
    </row>
    <row r="28" spans="1:14" ht="15.75" customHeight="1">
      <c r="A28" s="12" t="str">
        <f>Referencias!B15</f>
        <v>Desgaste Caderno A5</v>
      </c>
      <c r="B28" s="13">
        <v>1</v>
      </c>
      <c r="C28" s="6">
        <f>Referencias!F15</f>
        <v>2</v>
      </c>
      <c r="D28" s="6">
        <f t="shared" si="1"/>
        <v>2</v>
      </c>
    </row>
    <row r="29" spans="1:14" ht="15.75" customHeight="1">
      <c r="A29" s="12" t="str">
        <f>Referencias!B17</f>
        <v>Embalagem Padrão</v>
      </c>
      <c r="B29" s="13">
        <v>1</v>
      </c>
      <c r="C29" s="6">
        <f>Referencias!F17</f>
        <v>1.5</v>
      </c>
      <c r="D29" s="6">
        <f t="shared" si="1"/>
        <v>1.5</v>
      </c>
    </row>
    <row r="30" spans="1:14" ht="15.75" customHeight="1">
      <c r="A30" s="2" t="s">
        <v>312</v>
      </c>
      <c r="B30" s="12"/>
      <c r="C30" s="10"/>
      <c r="D30" s="3">
        <f>SUM(D19:D29)</f>
        <v>31.369999999999997</v>
      </c>
    </row>
    <row r="31" spans="1:14" ht="15.75" customHeight="1">
      <c r="A31" s="2" t="s">
        <v>313</v>
      </c>
      <c r="B31" s="15">
        <v>0.55000000000000004</v>
      </c>
      <c r="C31" s="6">
        <f>D30*B31</f>
        <v>17.253499999999999</v>
      </c>
      <c r="D31" s="3">
        <f>D30+C31</f>
        <v>48.623499999999993</v>
      </c>
      <c r="E31" s="92"/>
      <c r="F31" s="93"/>
      <c r="G31" s="93"/>
    </row>
    <row r="32" spans="1:14" ht="15.75" customHeight="1">
      <c r="A32" s="2" t="s">
        <v>314</v>
      </c>
      <c r="B32" s="40" t="s">
        <v>330</v>
      </c>
      <c r="C32" s="36" t="s">
        <v>331</v>
      </c>
      <c r="D32" s="10"/>
      <c r="E32" s="7"/>
      <c r="F32" s="7"/>
      <c r="G32" s="7"/>
    </row>
    <row r="33" spans="1:13" ht="15.75" customHeight="1">
      <c r="A33" s="2" t="s">
        <v>315</v>
      </c>
      <c r="B33" s="37"/>
      <c r="C33" s="41"/>
      <c r="D33" s="3">
        <v>95</v>
      </c>
      <c r="E33" s="16"/>
      <c r="F33" s="16"/>
      <c r="G33" s="16"/>
    </row>
    <row r="35" spans="1:13" ht="15.75" customHeight="1">
      <c r="A35" s="89" t="s">
        <v>382</v>
      </c>
      <c r="B35" s="90"/>
      <c r="C35" s="91"/>
      <c r="D35" s="3">
        <v>15</v>
      </c>
    </row>
    <row r="36" spans="1:13" ht="15.75" customHeight="1">
      <c r="A36" s="12" t="str">
        <f>Referencias!B92</f>
        <v>Papelão 12x12+12x12+12x1</v>
      </c>
      <c r="B36" s="13">
        <v>1</v>
      </c>
      <c r="C36" s="6">
        <f>Referencias!F92</f>
        <v>1.5</v>
      </c>
      <c r="D36" s="6">
        <f t="shared" ref="D36:D44" si="2">B36*C36</f>
        <v>1.5</v>
      </c>
    </row>
    <row r="37" spans="1:13" ht="15">
      <c r="A37" s="12" t="str">
        <f>Referencias!B53</f>
        <v>Papel fotografico A4</v>
      </c>
      <c r="B37" s="13">
        <v>1</v>
      </c>
      <c r="C37" s="6">
        <f>Referencias!F53</f>
        <v>0.8</v>
      </c>
      <c r="D37" s="6">
        <f t="shared" si="2"/>
        <v>0.8</v>
      </c>
    </row>
    <row r="38" spans="1:13" ht="15">
      <c r="A38" s="12" t="str">
        <f>Referencias!B31</f>
        <v>bopp</v>
      </c>
      <c r="B38" s="13">
        <v>0.3</v>
      </c>
      <c r="C38" s="6">
        <f>Referencias!F31</f>
        <v>0.45</v>
      </c>
      <c r="D38" s="6">
        <f t="shared" si="2"/>
        <v>0.13500000000000001</v>
      </c>
    </row>
    <row r="39" spans="1:13" ht="15">
      <c r="A39" s="12" t="str">
        <f>Referencias!B66</f>
        <v>Papel guarda offset adesivo A4</v>
      </c>
      <c r="B39" s="13">
        <v>1</v>
      </c>
      <c r="C39" s="6">
        <f>Referencias!F66</f>
        <v>0.75</v>
      </c>
      <c r="D39" s="6">
        <f t="shared" si="2"/>
        <v>0.75</v>
      </c>
    </row>
    <row r="40" spans="1:13" ht="15">
      <c r="A40" s="12" t="str">
        <f>Referencias!B68</f>
        <v>miolo 75gr A7</v>
      </c>
      <c r="B40" s="13">
        <v>80</v>
      </c>
      <c r="C40" s="6">
        <f>Referencias!F68</f>
        <v>0.01</v>
      </c>
      <c r="D40" s="6">
        <f t="shared" si="2"/>
        <v>0.8</v>
      </c>
    </row>
    <row r="41" spans="1:13" ht="15">
      <c r="A41" s="12" t="str">
        <f>Referencias!B22</f>
        <v>Impressao Capa A4</v>
      </c>
      <c r="B41" s="13">
        <v>1</v>
      </c>
      <c r="C41" s="6">
        <f>Referencias!F22</f>
        <v>0.5</v>
      </c>
      <c r="D41" s="6">
        <f t="shared" si="2"/>
        <v>0.5</v>
      </c>
    </row>
    <row r="42" spans="1:13" ht="15">
      <c r="A42" s="12" t="str">
        <f>Referencias!B62</f>
        <v>Frete</v>
      </c>
      <c r="B42" s="12"/>
      <c r="C42" s="6">
        <f>Referencias!F62</f>
        <v>0</v>
      </c>
      <c r="D42" s="6">
        <f t="shared" si="2"/>
        <v>0</v>
      </c>
    </row>
    <row r="43" spans="1:13" ht="15">
      <c r="A43" s="12" t="str">
        <f>Referencias!B14</f>
        <v>Desgaste Bloquinho/Outros</v>
      </c>
      <c r="B43" s="13">
        <v>1</v>
      </c>
      <c r="C43" s="6">
        <f>Referencias!F14</f>
        <v>0.5</v>
      </c>
      <c r="D43" s="6">
        <f t="shared" si="2"/>
        <v>0.5</v>
      </c>
    </row>
    <row r="44" spans="1:13" ht="15">
      <c r="A44" s="12" t="str">
        <f>Referencias!B17</f>
        <v>Embalagem Padrão</v>
      </c>
      <c r="B44" s="13">
        <v>1</v>
      </c>
      <c r="C44" s="6">
        <f>Referencias!F17</f>
        <v>1.5</v>
      </c>
      <c r="D44" s="6">
        <f t="shared" si="2"/>
        <v>1.5</v>
      </c>
    </row>
    <row r="45" spans="1:13" ht="15">
      <c r="A45" s="2" t="s">
        <v>312</v>
      </c>
      <c r="B45" s="12"/>
      <c r="C45" s="6"/>
      <c r="D45" s="3">
        <f>SUM(D36:D44)</f>
        <v>6.4849999999999994</v>
      </c>
    </row>
    <row r="46" spans="1:13" ht="15">
      <c r="A46" s="2" t="s">
        <v>313</v>
      </c>
      <c r="B46" s="15">
        <v>0.55000000000000004</v>
      </c>
      <c r="C46" s="6">
        <f>D45*B46</f>
        <v>3.5667499999999999</v>
      </c>
      <c r="D46" s="3">
        <f>D45+C46</f>
        <v>10.051749999999998</v>
      </c>
      <c r="E46" s="92"/>
      <c r="F46" s="93"/>
      <c r="G46" s="93"/>
    </row>
    <row r="47" spans="1:13" ht="15">
      <c r="A47" s="2" t="s">
        <v>314</v>
      </c>
      <c r="B47" s="40" t="s">
        <v>330</v>
      </c>
      <c r="C47" s="36"/>
      <c r="D47" s="10"/>
      <c r="E47" s="7"/>
      <c r="F47" s="7"/>
      <c r="G47" s="7"/>
    </row>
    <row r="48" spans="1:13" ht="15">
      <c r="A48" s="2" t="s">
        <v>315</v>
      </c>
      <c r="B48" s="37"/>
      <c r="C48" s="36"/>
      <c r="D48" s="3">
        <v>20</v>
      </c>
      <c r="E48" s="16"/>
      <c r="F48" s="16"/>
      <c r="G48" s="16"/>
      <c r="I48" s="73"/>
      <c r="J48" s="7"/>
      <c r="K48" s="7"/>
      <c r="L48" s="95"/>
      <c r="M48" s="93"/>
    </row>
    <row r="49" spans="1:15" ht="15">
      <c r="I49" s="7"/>
      <c r="J49" s="7"/>
      <c r="K49" s="7"/>
      <c r="L49" s="95"/>
      <c r="M49" s="93"/>
    </row>
    <row r="50" spans="1:15" ht="15">
      <c r="A50" s="89" t="s">
        <v>383</v>
      </c>
      <c r="B50" s="90"/>
      <c r="C50" s="91"/>
      <c r="D50" s="3">
        <v>20</v>
      </c>
      <c r="I50" s="7"/>
      <c r="J50" s="8"/>
      <c r="K50" s="9"/>
      <c r="L50" s="74"/>
      <c r="M50" s="9"/>
    </row>
    <row r="51" spans="1:15" ht="15">
      <c r="A51" s="12" t="str">
        <f>Referencias!B89</f>
        <v>Caderno Brochura Foroni A5</v>
      </c>
      <c r="B51" s="13">
        <v>1</v>
      </c>
      <c r="C51" s="6">
        <f>Referencias!F89</f>
        <v>4.0999999999999996</v>
      </c>
      <c r="D51" s="6">
        <f t="shared" ref="D51:D58" si="3">B51*C51</f>
        <v>4.0999999999999996</v>
      </c>
      <c r="I51" s="7"/>
      <c r="J51" s="8"/>
      <c r="K51" s="9"/>
      <c r="L51" s="9"/>
      <c r="M51" s="9"/>
    </row>
    <row r="52" spans="1:15" ht="15">
      <c r="A52" s="12" t="str">
        <f>Referencias!B90</f>
        <v>Contact 200x45</v>
      </c>
      <c r="B52" s="76">
        <f>0.25*0.34</f>
        <v>8.5000000000000006E-2</v>
      </c>
      <c r="C52" s="6">
        <f>Referencias!F90</f>
        <v>15</v>
      </c>
      <c r="D52" s="6">
        <f t="shared" si="3"/>
        <v>1.2750000000000001</v>
      </c>
      <c r="K52" s="9"/>
      <c r="M52" s="9"/>
    </row>
    <row r="53" spans="1:15" ht="15">
      <c r="A53" s="12" t="str">
        <f>Referencias!B91</f>
        <v>EVA 40x47</v>
      </c>
      <c r="B53" s="76">
        <f>2*0.14*0.18</f>
        <v>5.04E-2</v>
      </c>
      <c r="C53" s="6">
        <f>Referencias!F91</f>
        <v>1.19</v>
      </c>
      <c r="D53" s="6">
        <f t="shared" si="3"/>
        <v>5.9975999999999995E-2</v>
      </c>
      <c r="I53" s="7"/>
      <c r="J53" s="8"/>
      <c r="K53" s="9"/>
      <c r="L53" s="9"/>
      <c r="M53" s="9"/>
    </row>
    <row r="54" spans="1:15" ht="15">
      <c r="A54" s="12" t="str">
        <f>Referencias!B48</f>
        <v>Papel guarda 15,5x21,5 offset adesivo</v>
      </c>
      <c r="B54" s="13">
        <v>2</v>
      </c>
      <c r="C54" s="6">
        <f>Referencias!F48</f>
        <v>0.75</v>
      </c>
      <c r="D54" s="6">
        <f t="shared" si="3"/>
        <v>1.5</v>
      </c>
      <c r="I54" s="7"/>
      <c r="J54" s="8"/>
      <c r="K54" s="9"/>
      <c r="L54" s="9"/>
      <c r="M54" s="9"/>
    </row>
    <row r="55" spans="1:15" ht="15">
      <c r="A55" s="12" t="str">
        <f>Referencias!B75</f>
        <v>Plástico Cristal 1mx1,4m</v>
      </c>
      <c r="B55" s="76">
        <f>(26*35)/(100*140)</f>
        <v>6.5000000000000002E-2</v>
      </c>
      <c r="C55" s="6">
        <f>Referencias!F75</f>
        <v>14.9</v>
      </c>
      <c r="D55" s="6">
        <f t="shared" si="3"/>
        <v>0.96850000000000003</v>
      </c>
      <c r="I55" s="7"/>
      <c r="J55" s="8"/>
      <c r="K55" s="9"/>
      <c r="L55" s="74"/>
      <c r="M55" s="9"/>
      <c r="N55" s="77"/>
      <c r="O55" s="77"/>
    </row>
    <row r="56" spans="1:15" ht="15">
      <c r="A56" s="12" t="str">
        <f>Referencias!B62</f>
        <v>Frete</v>
      </c>
      <c r="B56" s="12"/>
      <c r="C56" s="6">
        <f>Referencias!F62</f>
        <v>0</v>
      </c>
      <c r="D56" s="6">
        <f t="shared" si="3"/>
        <v>0</v>
      </c>
      <c r="I56" s="7"/>
      <c r="J56" s="7"/>
      <c r="K56" s="9"/>
      <c r="L56" s="74"/>
    </row>
    <row r="57" spans="1:15" ht="15">
      <c r="A57" s="12" t="str">
        <f>Referencias!B15</f>
        <v>Desgaste Caderno A5</v>
      </c>
      <c r="B57" s="13">
        <v>1</v>
      </c>
      <c r="C57" s="6">
        <f>Referencias!F15</f>
        <v>2</v>
      </c>
      <c r="D57" s="6">
        <f t="shared" si="3"/>
        <v>2</v>
      </c>
    </row>
    <row r="58" spans="1:15" ht="15">
      <c r="A58" s="12" t="str">
        <f>Referencias!B17</f>
        <v>Embalagem Padrão</v>
      </c>
      <c r="B58" s="13">
        <v>1</v>
      </c>
      <c r="C58" s="6">
        <f>Referencias!F17</f>
        <v>1.5</v>
      </c>
      <c r="D58" s="6">
        <f t="shared" si="3"/>
        <v>1.5</v>
      </c>
    </row>
    <row r="59" spans="1:15" ht="15">
      <c r="A59" s="2" t="s">
        <v>312</v>
      </c>
      <c r="B59" s="12"/>
      <c r="C59" s="6"/>
      <c r="D59" s="3">
        <f>SUM(D51:D58)</f>
        <v>11.403476</v>
      </c>
    </row>
    <row r="60" spans="1:15" ht="15">
      <c r="A60" s="2" t="s">
        <v>313</v>
      </c>
      <c r="B60" s="15">
        <v>0.55000000000000004</v>
      </c>
      <c r="C60" s="6">
        <f>D59*B60</f>
        <v>6.2719117999999998</v>
      </c>
      <c r="D60" s="3">
        <f>D59+C60</f>
        <v>17.675387799999999</v>
      </c>
      <c r="E60" s="92"/>
      <c r="F60" s="93"/>
      <c r="G60" s="93"/>
    </row>
    <row r="61" spans="1:15" ht="15">
      <c r="A61" s="2" t="s">
        <v>314</v>
      </c>
      <c r="B61" s="40" t="s">
        <v>330</v>
      </c>
      <c r="C61" s="36"/>
      <c r="D61" s="10"/>
      <c r="E61" s="7"/>
      <c r="F61" s="7"/>
      <c r="G61" s="7"/>
    </row>
    <row r="62" spans="1:15" ht="15">
      <c r="A62" s="2" t="s">
        <v>315</v>
      </c>
      <c r="B62" s="37">
        <v>6</v>
      </c>
      <c r="C62" s="41">
        <v>7</v>
      </c>
      <c r="D62" s="3">
        <v>25</v>
      </c>
      <c r="E62" s="16"/>
      <c r="F62" s="16"/>
      <c r="G62" s="16"/>
    </row>
    <row r="64" spans="1:15" ht="15">
      <c r="A64" s="89" t="s">
        <v>384</v>
      </c>
      <c r="B64" s="90"/>
      <c r="C64" s="91"/>
      <c r="D64" s="3">
        <v>15</v>
      </c>
    </row>
    <row r="65" spans="1:7" ht="15">
      <c r="A65" s="12" t="str">
        <f>Referencias!B96</f>
        <v>Papelão 11,5x15,5</v>
      </c>
      <c r="B65" s="13">
        <v>2</v>
      </c>
      <c r="C65" s="6">
        <f>Referencias!F96</f>
        <v>0.75</v>
      </c>
      <c r="D65" s="6">
        <f t="shared" ref="D65:D74" si="4">B65*C65</f>
        <v>1.5</v>
      </c>
    </row>
    <row r="66" spans="1:7" ht="15">
      <c r="A66" s="12" t="str">
        <f>Referencias!B90</f>
        <v>Contact 200x45</v>
      </c>
      <c r="B66" s="78">
        <f>(14*18)/(200*45)</f>
        <v>2.8000000000000001E-2</v>
      </c>
      <c r="C66" s="6">
        <f>Referencias!F90</f>
        <v>15</v>
      </c>
      <c r="D66" s="6">
        <f t="shared" si="4"/>
        <v>0.42</v>
      </c>
    </row>
    <row r="67" spans="1:7" ht="15">
      <c r="A67" s="12" t="str">
        <f>Referencias!B75</f>
        <v>Plástico Cristal 1mx1,4m</v>
      </c>
      <c r="B67" s="78">
        <f>(15*19)/(100*140)</f>
        <v>2.0357142857142858E-2</v>
      </c>
      <c r="C67" s="6">
        <f>Referencias!F75</f>
        <v>14.9</v>
      </c>
      <c r="D67" s="6">
        <f t="shared" si="4"/>
        <v>0.30332142857142858</v>
      </c>
    </row>
    <row r="68" spans="1:7" ht="15">
      <c r="A68" s="12" t="str">
        <f>Referencias!B97</f>
        <v>Papel guarda 11x14,5 offset adesivo</v>
      </c>
      <c r="B68" s="12">
        <v>2</v>
      </c>
      <c r="C68" s="6">
        <f>Referencias!F48</f>
        <v>0.75</v>
      </c>
      <c r="D68" s="6">
        <f t="shared" si="4"/>
        <v>1.5</v>
      </c>
    </row>
    <row r="69" spans="1:7" ht="15">
      <c r="A69" s="12" t="str">
        <f>Referencias!B98</f>
        <v>Sulfite 75g A6</v>
      </c>
      <c r="B69" s="12">
        <v>80</v>
      </c>
      <c r="C69" s="6">
        <f>Referencias!F98</f>
        <v>0.02</v>
      </c>
      <c r="D69" s="6">
        <f t="shared" si="4"/>
        <v>1.6</v>
      </c>
    </row>
    <row r="70" spans="1:7" ht="15">
      <c r="A70" s="12" t="str">
        <f>Referencias!B69</f>
        <v>Espiral 20mm</v>
      </c>
      <c r="B70" s="12">
        <v>0.5</v>
      </c>
      <c r="C70" s="6">
        <f>Referencias!F69</f>
        <v>0.64</v>
      </c>
      <c r="D70" s="6">
        <f t="shared" si="4"/>
        <v>0.32</v>
      </c>
    </row>
    <row r="71" spans="1:7" ht="15">
      <c r="A71" s="12" t="str">
        <f>Referencias!B91</f>
        <v>EVA 40x47</v>
      </c>
      <c r="B71" s="78">
        <f>2*(10*12)/(40*47)</f>
        <v>0.1276595744680851</v>
      </c>
      <c r="C71" s="6">
        <f>Referencias!F91</f>
        <v>1.19</v>
      </c>
      <c r="D71" s="6">
        <f t="shared" si="4"/>
        <v>0.15191489361702126</v>
      </c>
    </row>
    <row r="72" spans="1:7" ht="15">
      <c r="A72" s="12" t="str">
        <f>Referencias!B62</f>
        <v>Frete</v>
      </c>
      <c r="B72" s="12"/>
      <c r="C72" s="6">
        <f>Referencias!F62</f>
        <v>0</v>
      </c>
      <c r="D72" s="6">
        <f t="shared" si="4"/>
        <v>0</v>
      </c>
    </row>
    <row r="73" spans="1:7" ht="15">
      <c r="A73" s="12" t="str">
        <f>Referencias!B14</f>
        <v>Desgaste Bloquinho/Outros</v>
      </c>
      <c r="B73" s="13">
        <v>1</v>
      </c>
      <c r="C73" s="6">
        <f>Referencias!F14</f>
        <v>0.5</v>
      </c>
      <c r="D73" s="6">
        <f t="shared" si="4"/>
        <v>0.5</v>
      </c>
    </row>
    <row r="74" spans="1:7" ht="15">
      <c r="A74" s="12" t="str">
        <f>Referencias!B17</f>
        <v>Embalagem Padrão</v>
      </c>
      <c r="B74" s="13">
        <v>1</v>
      </c>
      <c r="C74" s="6">
        <f>Referencias!F17</f>
        <v>1.5</v>
      </c>
      <c r="D74" s="6">
        <f t="shared" si="4"/>
        <v>1.5</v>
      </c>
    </row>
    <row r="75" spans="1:7" ht="15">
      <c r="A75" s="2" t="s">
        <v>312</v>
      </c>
      <c r="B75" s="12"/>
      <c r="C75" s="6"/>
      <c r="D75" s="3">
        <f>SUM(D65:D74)</f>
        <v>7.7952363221884502</v>
      </c>
    </row>
    <row r="76" spans="1:7" ht="15">
      <c r="A76" s="2" t="s">
        <v>313</v>
      </c>
      <c r="B76" s="15">
        <v>0.55000000000000004</v>
      </c>
      <c r="C76" s="6">
        <f>D75*B76</f>
        <v>4.2873799772036483</v>
      </c>
      <c r="D76" s="3">
        <f>D75+C76</f>
        <v>12.082616299392098</v>
      </c>
      <c r="E76" s="92"/>
      <c r="F76" s="93"/>
      <c r="G76" s="93"/>
    </row>
    <row r="77" spans="1:7" ht="15">
      <c r="A77" s="2" t="s">
        <v>314</v>
      </c>
      <c r="B77" s="12"/>
      <c r="C77" s="10"/>
      <c r="D77" s="10"/>
      <c r="E77" s="7"/>
      <c r="F77" s="7"/>
      <c r="G77" s="7"/>
    </row>
    <row r="78" spans="1:7" ht="15">
      <c r="A78" s="2" t="s">
        <v>315</v>
      </c>
      <c r="B78" s="79"/>
      <c r="C78" s="10"/>
      <c r="D78" s="3">
        <v>15</v>
      </c>
      <c r="E78" s="16"/>
      <c r="F78" s="16"/>
      <c r="G78" s="16"/>
    </row>
    <row r="80" spans="1:7" ht="15">
      <c r="A80" s="89" t="s">
        <v>385</v>
      </c>
      <c r="B80" s="90"/>
      <c r="C80" s="91"/>
      <c r="D80" s="3">
        <v>30</v>
      </c>
    </row>
    <row r="81" spans="1:7" ht="15">
      <c r="A81" s="12" t="str">
        <f>Referencias!B58</f>
        <v>Papelão 16x22</v>
      </c>
      <c r="B81" s="13">
        <v>2</v>
      </c>
      <c r="C81" s="6">
        <f>Referencias!F58</f>
        <v>1.5</v>
      </c>
      <c r="D81" s="6">
        <f t="shared" ref="D81:D91" si="5">B81*C81</f>
        <v>3</v>
      </c>
    </row>
    <row r="82" spans="1:7" ht="15">
      <c r="A82" s="12" t="str">
        <f>Referencias!B90</f>
        <v>Contact 200x45</v>
      </c>
      <c r="B82" s="78">
        <f>0.25*0.34</f>
        <v>8.5000000000000006E-2</v>
      </c>
      <c r="C82" s="6">
        <f>Referencias!F90</f>
        <v>15</v>
      </c>
      <c r="D82" s="6">
        <f t="shared" si="5"/>
        <v>1.2750000000000001</v>
      </c>
    </row>
    <row r="83" spans="1:7" ht="15">
      <c r="A83" s="12" t="str">
        <f>Referencias!B75</f>
        <v>Plástico Cristal 1mx1,4m</v>
      </c>
      <c r="B83" s="78">
        <f>(26*35)/(100*140)</f>
        <v>6.5000000000000002E-2</v>
      </c>
      <c r="C83" s="6">
        <f>Referencias!F75</f>
        <v>14.9</v>
      </c>
      <c r="D83" s="6">
        <f t="shared" si="5"/>
        <v>0.96850000000000003</v>
      </c>
    </row>
    <row r="84" spans="1:7" ht="15">
      <c r="A84" s="12" t="str">
        <f>Referencias!B48</f>
        <v>Papel guarda 15,5x21,5 offset adesivo</v>
      </c>
      <c r="B84" s="12">
        <v>2</v>
      </c>
      <c r="C84" s="6">
        <f>Referencias!F48</f>
        <v>0.75</v>
      </c>
      <c r="D84" s="6">
        <f t="shared" si="5"/>
        <v>1.5</v>
      </c>
    </row>
    <row r="85" spans="1:7" ht="15">
      <c r="A85" s="12" t="str">
        <f>Referencias!B45</f>
        <v>miolo 90gr A5</v>
      </c>
      <c r="B85" s="12">
        <v>100</v>
      </c>
      <c r="C85" s="6">
        <f>Referencias!F45</f>
        <v>0.05</v>
      </c>
      <c r="D85" s="6">
        <f t="shared" si="5"/>
        <v>5</v>
      </c>
    </row>
    <row r="86" spans="1:7" ht="15">
      <c r="A86" s="12" t="str">
        <f>Referencias!B91</f>
        <v>EVA 40x47</v>
      </c>
      <c r="B86" s="78">
        <f>2*0.14*0.18</f>
        <v>5.04E-2</v>
      </c>
      <c r="C86" s="6">
        <f>Referencias!F91</f>
        <v>1.19</v>
      </c>
      <c r="D86" s="6">
        <f t="shared" si="5"/>
        <v>5.9975999999999995E-2</v>
      </c>
    </row>
    <row r="87" spans="1:7" ht="15">
      <c r="A87" s="12" t="str">
        <f>Referencias!B94</f>
        <v>Cola Branca 1kg</v>
      </c>
      <c r="B87" s="12">
        <v>10</v>
      </c>
      <c r="C87" s="6">
        <f>Referencias!F94</f>
        <v>0.04</v>
      </c>
      <c r="D87" s="6">
        <f t="shared" si="5"/>
        <v>0.4</v>
      </c>
    </row>
    <row r="88" spans="1:7" ht="15">
      <c r="A88" s="12" t="str">
        <f>Referencias!B95</f>
        <v>Linha Urso</v>
      </c>
      <c r="B88" s="12">
        <v>10</v>
      </c>
      <c r="C88" s="6">
        <f>Referencias!F95</f>
        <v>0.23</v>
      </c>
      <c r="D88" s="6">
        <f t="shared" si="5"/>
        <v>2.3000000000000003</v>
      </c>
    </row>
    <row r="89" spans="1:7" ht="15">
      <c r="A89" s="12" t="str">
        <f>Referencias!B62</f>
        <v>Frete</v>
      </c>
      <c r="B89" s="12"/>
      <c r="C89" s="6">
        <f>Referencias!F62</f>
        <v>0</v>
      </c>
      <c r="D89" s="6">
        <f t="shared" si="5"/>
        <v>0</v>
      </c>
    </row>
    <row r="90" spans="1:7" ht="15">
      <c r="A90" s="12" t="str">
        <f>Referencias!B14</f>
        <v>Desgaste Bloquinho/Outros</v>
      </c>
      <c r="B90" s="13">
        <v>1</v>
      </c>
      <c r="C90" s="6">
        <f>Referencias!F14</f>
        <v>0.5</v>
      </c>
      <c r="D90" s="6">
        <f t="shared" si="5"/>
        <v>0.5</v>
      </c>
    </row>
    <row r="91" spans="1:7" ht="15">
      <c r="A91" s="12" t="str">
        <f>Referencias!B17</f>
        <v>Embalagem Padrão</v>
      </c>
      <c r="B91" s="13">
        <v>1</v>
      </c>
      <c r="C91" s="6">
        <f>Referencias!F17</f>
        <v>1.5</v>
      </c>
      <c r="D91" s="6">
        <f t="shared" si="5"/>
        <v>1.5</v>
      </c>
    </row>
    <row r="92" spans="1:7" ht="15">
      <c r="A92" s="2" t="s">
        <v>312</v>
      </c>
      <c r="B92" s="12"/>
      <c r="C92" s="6"/>
      <c r="D92" s="3">
        <f>SUM(D81:D91)</f>
        <v>16.503476000000003</v>
      </c>
    </row>
    <row r="93" spans="1:7" ht="15">
      <c r="A93" s="2" t="s">
        <v>313</v>
      </c>
      <c r="B93" s="15">
        <v>0.55000000000000004</v>
      </c>
      <c r="C93" s="6">
        <f>D92*B93</f>
        <v>9.0769118000000031</v>
      </c>
      <c r="D93" s="3">
        <f>D92+C93</f>
        <v>25.580387800000004</v>
      </c>
      <c r="E93" s="92"/>
      <c r="F93" s="93"/>
      <c r="G93" s="93"/>
    </row>
    <row r="94" spans="1:7" ht="15">
      <c r="A94" s="2" t="s">
        <v>314</v>
      </c>
      <c r="B94" s="40" t="s">
        <v>386</v>
      </c>
      <c r="C94" s="10"/>
      <c r="D94" s="10"/>
      <c r="E94" s="7"/>
      <c r="F94" s="7"/>
      <c r="G94" s="7"/>
    </row>
    <row r="95" spans="1:7" ht="15">
      <c r="A95" s="2" t="s">
        <v>315</v>
      </c>
      <c r="B95" s="37">
        <v>24</v>
      </c>
      <c r="C95" s="10"/>
      <c r="D95" s="3">
        <v>30</v>
      </c>
      <c r="E95" s="16"/>
      <c r="F95" s="16"/>
      <c r="G95" s="16"/>
    </row>
  </sheetData>
  <mergeCells count="18">
    <mergeCell ref="A1:C1"/>
    <mergeCell ref="L1:M1"/>
    <mergeCell ref="L2:M2"/>
    <mergeCell ref="L11:M11"/>
    <mergeCell ref="L12:M12"/>
    <mergeCell ref="E14:G14"/>
    <mergeCell ref="A18:C18"/>
    <mergeCell ref="E60:G60"/>
    <mergeCell ref="E76:G76"/>
    <mergeCell ref="A80:C80"/>
    <mergeCell ref="E93:G93"/>
    <mergeCell ref="E31:G31"/>
    <mergeCell ref="A35:C35"/>
    <mergeCell ref="E46:G46"/>
    <mergeCell ref="L48:M48"/>
    <mergeCell ref="L49:M49"/>
    <mergeCell ref="A50:C50"/>
    <mergeCell ref="A64:C6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U45"/>
  <sheetViews>
    <sheetView workbookViewId="0">
      <selection activeCell="E1" sqref="E1:Y59"/>
    </sheetView>
  </sheetViews>
  <sheetFormatPr defaultColWidth="12.5703125" defaultRowHeight="15.75" customHeight="1"/>
  <cols>
    <col min="1" max="1" width="25.5703125" customWidth="1"/>
    <col min="2" max="2" width="6.42578125" customWidth="1"/>
    <col min="3" max="4" width="7.7109375" customWidth="1"/>
    <col min="5" max="7" width="7.42578125" customWidth="1"/>
    <col min="9" max="9" width="10.42578125" customWidth="1"/>
    <col min="10" max="11" width="3.7109375" customWidth="1"/>
    <col min="12" max="12" width="5.5703125" customWidth="1"/>
    <col min="14" max="14" width="24.42578125" customWidth="1"/>
    <col min="15" max="16" width="2.85546875" customWidth="1"/>
    <col min="17" max="17" width="4.7109375" customWidth="1"/>
    <col min="18" max="18" width="4.28515625" customWidth="1"/>
  </cols>
  <sheetData>
    <row r="1" spans="1:21" ht="15.75" customHeight="1">
      <c r="A1" s="89" t="s">
        <v>390</v>
      </c>
      <c r="B1" s="90"/>
      <c r="C1" s="91"/>
      <c r="D1" s="11">
        <v>15</v>
      </c>
      <c r="N1" s="7"/>
      <c r="O1" s="31"/>
      <c r="P1" s="31"/>
      <c r="Q1" s="47"/>
      <c r="R1" s="31"/>
    </row>
    <row r="2" spans="1:21" ht="15.75" customHeight="1">
      <c r="A2" s="12" t="str">
        <f>Referencias!B76</f>
        <v>Tecido Tricoline 1mx1,4m trevo</v>
      </c>
      <c r="B2" s="68">
        <v>0.17</v>
      </c>
      <c r="C2" s="6">
        <f>Referencias!F76</f>
        <v>33.799999999999997</v>
      </c>
      <c r="D2" s="6">
        <f t="shared" ref="D2:D9" si="0">B2*C2</f>
        <v>5.7459999999999996</v>
      </c>
      <c r="N2" s="31"/>
      <c r="O2" s="8"/>
      <c r="P2" s="8"/>
      <c r="Q2" s="8"/>
      <c r="R2" s="31"/>
    </row>
    <row r="3" spans="1:21" ht="15.75" customHeight="1">
      <c r="A3" s="12" t="str">
        <f>Referencias!B80</f>
        <v>Linha Dinner</v>
      </c>
      <c r="B3" s="13">
        <v>0.5</v>
      </c>
      <c r="C3" s="6">
        <f>Referencias!F80</f>
        <v>0.1</v>
      </c>
      <c r="D3" s="6">
        <f t="shared" si="0"/>
        <v>0.05</v>
      </c>
      <c r="N3" s="31"/>
      <c r="O3" s="8"/>
      <c r="P3" s="8"/>
      <c r="Q3" s="8"/>
      <c r="R3" s="31"/>
    </row>
    <row r="4" spans="1:21" ht="15.75" customHeight="1">
      <c r="A4" s="12" t="str">
        <f>Referencias!B81</f>
        <v>Etiqueta Cetim 1,5 10m</v>
      </c>
      <c r="B4" s="13">
        <v>0.1</v>
      </c>
      <c r="C4" s="6">
        <f>Referencias!F81</f>
        <v>0.25</v>
      </c>
      <c r="D4" s="6">
        <f t="shared" si="0"/>
        <v>2.5000000000000001E-2</v>
      </c>
      <c r="H4" s="7"/>
      <c r="I4" s="8"/>
      <c r="J4" s="31"/>
      <c r="K4" s="31"/>
      <c r="L4" s="9"/>
      <c r="N4" s="31"/>
      <c r="O4" s="8"/>
      <c r="P4" s="8"/>
      <c r="Q4" s="8"/>
      <c r="R4" s="31"/>
    </row>
    <row r="5" spans="1:21" ht="15.75" customHeight="1">
      <c r="A5" s="12" t="str">
        <f>Referencias!B82</f>
        <v>Papel Transfer</v>
      </c>
      <c r="B5" s="13">
        <v>0.02</v>
      </c>
      <c r="C5" s="6">
        <f>Referencias!F82</f>
        <v>5.49</v>
      </c>
      <c r="D5" s="6">
        <f t="shared" si="0"/>
        <v>0.10980000000000001</v>
      </c>
      <c r="N5" s="31"/>
      <c r="O5" s="31"/>
      <c r="Q5" s="8"/>
      <c r="R5" s="69"/>
    </row>
    <row r="6" spans="1:21" ht="15.75" customHeight="1">
      <c r="A6" s="12" t="str">
        <f>Referencias!B83</f>
        <v>Impressão A4</v>
      </c>
      <c r="B6" s="12">
        <v>0.02</v>
      </c>
      <c r="C6" s="6">
        <f>Referencias!F83</f>
        <v>0.5</v>
      </c>
      <c r="D6" s="6">
        <f t="shared" si="0"/>
        <v>0.01</v>
      </c>
      <c r="H6" s="31"/>
      <c r="I6" s="31"/>
      <c r="J6" s="31"/>
      <c r="K6" s="31"/>
      <c r="L6" s="31"/>
      <c r="N6" s="7"/>
      <c r="O6" s="31"/>
      <c r="P6" s="31"/>
      <c r="Q6" s="47"/>
    </row>
    <row r="7" spans="1:21" ht="15.75" customHeight="1">
      <c r="A7" s="12" t="str">
        <f>Referencias!B62</f>
        <v>Frete</v>
      </c>
      <c r="B7" s="13"/>
      <c r="C7" s="6">
        <f>Referencias!F62</f>
        <v>0</v>
      </c>
      <c r="D7" s="6">
        <f t="shared" si="0"/>
        <v>0</v>
      </c>
      <c r="H7" s="31"/>
      <c r="I7" s="31"/>
      <c r="J7" s="31"/>
      <c r="K7" s="31"/>
      <c r="L7" s="31"/>
      <c r="N7" s="31"/>
      <c r="O7" s="8"/>
      <c r="P7" s="8"/>
      <c r="Q7" s="8"/>
    </row>
    <row r="8" spans="1:21" ht="15.75" customHeight="1">
      <c r="A8" s="12" t="str">
        <f>Referencias!B14</f>
        <v>Desgaste Bloquinho/Outros</v>
      </c>
      <c r="B8" s="13">
        <v>1</v>
      </c>
      <c r="C8" s="6">
        <f>Referencias!F14</f>
        <v>0.5</v>
      </c>
      <c r="D8" s="6">
        <f t="shared" si="0"/>
        <v>0.5</v>
      </c>
      <c r="H8" s="71"/>
      <c r="I8" s="31"/>
      <c r="J8" s="71"/>
      <c r="K8" s="31"/>
      <c r="L8" s="31"/>
      <c r="N8" s="14"/>
      <c r="O8" s="8"/>
      <c r="P8" s="8"/>
      <c r="Q8" s="8"/>
    </row>
    <row r="9" spans="1:21" ht="15.75" customHeight="1">
      <c r="A9" s="12" t="str">
        <f>Referencias!B17</f>
        <v>Embalagem Padrão</v>
      </c>
      <c r="B9" s="13">
        <v>1</v>
      </c>
      <c r="C9" s="6">
        <f>Referencias!F17</f>
        <v>1.5</v>
      </c>
      <c r="D9" s="6">
        <f t="shared" si="0"/>
        <v>1.5</v>
      </c>
      <c r="H9" s="71"/>
      <c r="I9" s="31"/>
      <c r="J9" s="71"/>
      <c r="K9" s="31"/>
      <c r="L9" s="31"/>
      <c r="N9" s="14"/>
      <c r="O9" s="8"/>
      <c r="P9" s="8"/>
      <c r="Q9" s="8"/>
    </row>
    <row r="10" spans="1:21" ht="15.75" customHeight="1">
      <c r="A10" s="2" t="s">
        <v>312</v>
      </c>
      <c r="B10" s="12"/>
      <c r="C10" s="6"/>
      <c r="D10" s="3">
        <f>SUM(D2:D9)</f>
        <v>7.9407999999999994</v>
      </c>
      <c r="H10" s="31"/>
      <c r="I10" s="31"/>
      <c r="J10" s="31"/>
      <c r="K10" s="31"/>
      <c r="L10" s="31"/>
      <c r="O10" s="31"/>
      <c r="P10" s="31"/>
      <c r="Q10" s="8"/>
    </row>
    <row r="11" spans="1:21" ht="15.75" customHeight="1">
      <c r="A11" s="2" t="s">
        <v>313</v>
      </c>
      <c r="B11" s="15">
        <v>0.55000000000000004</v>
      </c>
      <c r="C11" s="6">
        <f>D10*B11</f>
        <v>4.3674400000000002</v>
      </c>
      <c r="D11" s="3">
        <f>D10+C11</f>
        <v>12.30824</v>
      </c>
      <c r="E11" s="92"/>
      <c r="F11" s="93"/>
      <c r="G11" s="93"/>
      <c r="H11" s="31"/>
      <c r="I11" s="31"/>
      <c r="J11" s="31"/>
      <c r="K11" s="31"/>
      <c r="L11" s="31"/>
    </row>
    <row r="12" spans="1:21" ht="15.75" customHeight="1">
      <c r="A12" s="2" t="s">
        <v>314</v>
      </c>
      <c r="B12" s="12"/>
      <c r="C12" s="10"/>
      <c r="D12" s="10"/>
      <c r="E12" s="7"/>
      <c r="F12" s="7"/>
      <c r="G12" s="7"/>
      <c r="H12" s="31"/>
      <c r="I12" s="31"/>
      <c r="J12" s="31"/>
      <c r="K12" s="31"/>
      <c r="L12" s="31"/>
    </row>
    <row r="13" spans="1:21" ht="15.75" customHeight="1">
      <c r="A13" s="2" t="s">
        <v>315</v>
      </c>
      <c r="B13" s="12"/>
      <c r="C13" s="10"/>
      <c r="D13" s="11">
        <v>15</v>
      </c>
      <c r="E13" s="16"/>
      <c r="F13" s="16"/>
      <c r="G13" s="16"/>
      <c r="H13" s="31"/>
      <c r="I13" s="31"/>
      <c r="J13" s="31"/>
      <c r="K13" s="31"/>
      <c r="L13" s="31"/>
      <c r="M13" s="31"/>
      <c r="N13" s="31"/>
    </row>
    <row r="14" spans="1:21" ht="15.75" customHeight="1">
      <c r="F14" s="31"/>
      <c r="G14" s="31"/>
      <c r="H14" s="31"/>
      <c r="I14" s="31"/>
      <c r="J14" s="31"/>
      <c r="K14" s="31"/>
      <c r="L14" s="31"/>
      <c r="M14" s="31"/>
      <c r="N14" s="31"/>
    </row>
    <row r="15" spans="1:21" ht="15.75" customHeight="1">
      <c r="A15" s="89" t="s">
        <v>391</v>
      </c>
      <c r="B15" s="90"/>
      <c r="C15" s="91"/>
      <c r="D15" s="3">
        <v>10</v>
      </c>
      <c r="H15" s="7"/>
      <c r="I15" s="31"/>
      <c r="J15" s="31"/>
      <c r="K15" s="31"/>
      <c r="L15" s="31"/>
      <c r="M15" s="31"/>
      <c r="N15" s="31"/>
    </row>
    <row r="16" spans="1:21" ht="15.75" customHeight="1">
      <c r="A16" s="12" t="str">
        <f>Referencias!B119</f>
        <v>Plástico Alclear Light Translucido</v>
      </c>
      <c r="B16" s="13">
        <v>0.1</v>
      </c>
      <c r="C16" s="6">
        <f>Referencias!F119</f>
        <v>26.9</v>
      </c>
      <c r="D16" s="6">
        <f t="shared" ref="D16:D22" si="1">B16*C16</f>
        <v>2.69</v>
      </c>
      <c r="H16" s="9"/>
      <c r="I16" s="31"/>
      <c r="J16" s="31"/>
      <c r="K16" s="31"/>
      <c r="L16" s="31"/>
      <c r="M16" s="31"/>
      <c r="N16" s="31"/>
      <c r="U16" s="14"/>
    </row>
    <row r="17" spans="1:21" ht="15.75" customHeight="1">
      <c r="A17" s="12" t="str">
        <f>Referencias!B79</f>
        <v>Vies 20m</v>
      </c>
      <c r="B17" s="13">
        <v>1.5</v>
      </c>
      <c r="C17" s="6">
        <f>Referencias!F79</f>
        <v>0.32</v>
      </c>
      <c r="D17" s="6">
        <f t="shared" si="1"/>
        <v>0.48</v>
      </c>
      <c r="H17" s="9"/>
      <c r="I17" s="7"/>
      <c r="J17" s="31"/>
      <c r="K17" s="31"/>
      <c r="L17" s="31"/>
      <c r="M17" s="31"/>
      <c r="N17" s="31"/>
      <c r="S17" s="14"/>
      <c r="U17" s="14"/>
    </row>
    <row r="18" spans="1:21" ht="15.75" customHeight="1">
      <c r="A18" s="12" t="str">
        <f>Referencias!B77</f>
        <v>Botão de Pressão</v>
      </c>
      <c r="B18" s="13">
        <v>2</v>
      </c>
      <c r="C18" s="6">
        <f>Referencias!F79</f>
        <v>0.32</v>
      </c>
      <c r="D18" s="6">
        <f t="shared" si="1"/>
        <v>0.64</v>
      </c>
      <c r="H18" s="31"/>
      <c r="I18" s="31"/>
      <c r="J18" s="31"/>
      <c r="K18" s="31"/>
      <c r="L18" s="31"/>
      <c r="M18" s="31"/>
      <c r="N18" s="31"/>
    </row>
    <row r="19" spans="1:21" ht="15.75" customHeight="1">
      <c r="A19" s="12" t="str">
        <f>Referencias!B80</f>
        <v>Linha Dinner</v>
      </c>
      <c r="B19" s="13">
        <v>3</v>
      </c>
      <c r="C19" s="6">
        <f>Referencias!F77</f>
        <v>7.0000000000000007E-2</v>
      </c>
      <c r="D19" s="6">
        <f t="shared" si="1"/>
        <v>0.21000000000000002</v>
      </c>
      <c r="H19" s="31"/>
      <c r="I19" s="31"/>
      <c r="J19" s="31"/>
      <c r="K19" s="31"/>
      <c r="L19" s="31"/>
      <c r="M19" s="31"/>
      <c r="N19" s="31"/>
    </row>
    <row r="20" spans="1:21" ht="15.75" customHeight="1">
      <c r="A20" s="12" t="str">
        <f>Referencias!B62</f>
        <v>Frete</v>
      </c>
      <c r="B20" s="12"/>
      <c r="C20" s="6">
        <f>Referencias!F62</f>
        <v>0</v>
      </c>
      <c r="D20" s="6">
        <f t="shared" si="1"/>
        <v>0</v>
      </c>
      <c r="H20" s="31"/>
      <c r="I20" s="31"/>
      <c r="J20" s="31"/>
      <c r="K20" s="31"/>
      <c r="L20" s="31"/>
      <c r="M20" s="31"/>
      <c r="N20" s="31"/>
    </row>
    <row r="21" spans="1:21" ht="15.75" customHeight="1">
      <c r="A21" s="12" t="str">
        <f>Referencias!B14</f>
        <v>Desgaste Bloquinho/Outros</v>
      </c>
      <c r="B21" s="13">
        <v>1</v>
      </c>
      <c r="C21" s="6">
        <f>Referencias!F14</f>
        <v>0.5</v>
      </c>
      <c r="D21" s="6">
        <f t="shared" si="1"/>
        <v>0.5</v>
      </c>
      <c r="M21" s="31"/>
      <c r="N21" s="31"/>
    </row>
    <row r="22" spans="1:21" ht="15.75" customHeight="1">
      <c r="A22" s="12" t="str">
        <f>Referencias!B17</f>
        <v>Embalagem Padrão</v>
      </c>
      <c r="B22" s="13">
        <v>1</v>
      </c>
      <c r="C22" s="6">
        <f>Referencias!F17</f>
        <v>1.5</v>
      </c>
      <c r="D22" s="6">
        <f t="shared" si="1"/>
        <v>1.5</v>
      </c>
      <c r="M22" s="31"/>
      <c r="N22" s="31"/>
    </row>
    <row r="23" spans="1:21" ht="15.75" customHeight="1">
      <c r="A23" s="2" t="s">
        <v>312</v>
      </c>
      <c r="B23" s="12"/>
      <c r="C23" s="10"/>
      <c r="D23" s="3">
        <f>SUM(D16:D22)</f>
        <v>6.0200000000000005</v>
      </c>
      <c r="M23" s="31"/>
      <c r="N23" s="31"/>
    </row>
    <row r="24" spans="1:21" ht="15.75" customHeight="1">
      <c r="A24" s="2" t="s">
        <v>313</v>
      </c>
      <c r="B24" s="15">
        <v>0.55000000000000004</v>
      </c>
      <c r="C24" s="6">
        <f>D23*B24</f>
        <v>3.3110000000000004</v>
      </c>
      <c r="D24" s="3">
        <f>D23+C24</f>
        <v>9.3310000000000013</v>
      </c>
      <c r="E24" s="92"/>
      <c r="F24" s="93"/>
      <c r="G24" s="93"/>
      <c r="M24" s="31"/>
      <c r="N24" s="31"/>
    </row>
    <row r="25" spans="1:21" ht="15.75" customHeight="1">
      <c r="A25" s="2" t="s">
        <v>314</v>
      </c>
      <c r="B25" s="40"/>
      <c r="C25" s="36"/>
      <c r="D25" s="10"/>
      <c r="E25" s="7"/>
      <c r="F25" s="7"/>
      <c r="G25" s="7"/>
      <c r="M25" s="31"/>
      <c r="N25" s="31"/>
    </row>
    <row r="26" spans="1:21" ht="15.75" customHeight="1">
      <c r="A26" s="2" t="s">
        <v>315</v>
      </c>
      <c r="B26" s="37"/>
      <c r="C26" s="41"/>
      <c r="D26" s="3">
        <v>10</v>
      </c>
      <c r="E26" s="16"/>
      <c r="F26" s="16"/>
      <c r="G26" s="16"/>
      <c r="M26" s="31"/>
      <c r="N26" s="31"/>
    </row>
    <row r="27" spans="1:21" ht="15.75" customHeight="1">
      <c r="A27" s="7"/>
      <c r="B27" s="31"/>
      <c r="C27" s="31"/>
      <c r="D27" s="31"/>
      <c r="E27" s="31"/>
      <c r="F27" s="8"/>
      <c r="G27" s="31"/>
      <c r="M27" s="31"/>
      <c r="N27" s="31"/>
    </row>
    <row r="28" spans="1:21" ht="15.75" customHeight="1">
      <c r="A28" s="89" t="s">
        <v>392</v>
      </c>
      <c r="B28" s="90"/>
      <c r="C28" s="91"/>
      <c r="D28" s="11">
        <v>20</v>
      </c>
      <c r="M28" s="31"/>
      <c r="N28" s="31"/>
    </row>
    <row r="29" spans="1:21" ht="15.75" customHeight="1">
      <c r="A29" s="12" t="str">
        <f>Referencias!B238</f>
        <v>Tecido Tricoline 32cmx20cm</v>
      </c>
      <c r="B29" s="13">
        <v>1</v>
      </c>
      <c r="C29" s="6">
        <f>Referencias!F238</f>
        <v>1.48</v>
      </c>
      <c r="D29" s="6">
        <f t="shared" ref="D29:D41" si="2">B29*C29</f>
        <v>1.48</v>
      </c>
      <c r="M29" s="31"/>
      <c r="N29" s="31"/>
    </row>
    <row r="30" spans="1:21" ht="15.75" customHeight="1">
      <c r="A30" s="12" t="str">
        <f>Referencias!B239</f>
        <v>Tecido Tricoline 11cmx6cm</v>
      </c>
      <c r="B30" s="13">
        <v>5</v>
      </c>
      <c r="C30" s="6">
        <f>Referencias!F239</f>
        <v>0.15</v>
      </c>
      <c r="D30" s="6">
        <f t="shared" si="2"/>
        <v>0.75</v>
      </c>
      <c r="M30" s="31"/>
      <c r="N30" s="31"/>
    </row>
    <row r="31" spans="1:21" ht="15.75" customHeight="1">
      <c r="A31" s="12" t="str">
        <f>Referencias!B240</f>
        <v>Barbante Bandeirantes nº 4</v>
      </c>
      <c r="B31" s="13">
        <v>1.5</v>
      </c>
      <c r="C31" s="6">
        <f>Referencias!F240</f>
        <v>0.02</v>
      </c>
      <c r="D31" s="6">
        <f t="shared" si="2"/>
        <v>0.03</v>
      </c>
      <c r="M31" s="31"/>
      <c r="N31" s="31"/>
    </row>
    <row r="32" spans="1:21" ht="15.75" customHeight="1">
      <c r="A32" s="12" t="str">
        <f>Referencias!B241</f>
        <v>Painço 500g</v>
      </c>
      <c r="B32" s="13">
        <v>75</v>
      </c>
      <c r="C32" s="6">
        <f>Referencias!F241</f>
        <v>0.01</v>
      </c>
      <c r="D32" s="6">
        <f t="shared" si="2"/>
        <v>0.75</v>
      </c>
    </row>
    <row r="33" spans="1:7" ht="15.75" customHeight="1">
      <c r="A33" s="12" t="str">
        <f>Referencias!B80</f>
        <v>Linha Dinner</v>
      </c>
      <c r="B33" s="12">
        <v>1.5</v>
      </c>
      <c r="C33" s="6">
        <f>Referencias!F80</f>
        <v>0.1</v>
      </c>
      <c r="D33" s="6">
        <f t="shared" si="2"/>
        <v>0.15000000000000002</v>
      </c>
    </row>
    <row r="34" spans="1:7" ht="15.75" customHeight="1">
      <c r="A34" s="12" t="str">
        <f>Referencias!B81</f>
        <v>Etiqueta Cetim 1,5 10m</v>
      </c>
      <c r="B34" s="12">
        <v>0.1</v>
      </c>
      <c r="C34" s="6">
        <f>Referencias!F81</f>
        <v>0.25</v>
      </c>
      <c r="D34" s="6">
        <f t="shared" si="2"/>
        <v>2.5000000000000001E-2</v>
      </c>
    </row>
    <row r="35" spans="1:7" ht="15.75" customHeight="1">
      <c r="A35" s="12" t="str">
        <f>Referencias!B82</f>
        <v>Papel Transfer</v>
      </c>
      <c r="B35" s="12">
        <v>0.02</v>
      </c>
      <c r="C35" s="6">
        <f>Referencias!F82</f>
        <v>5.49</v>
      </c>
      <c r="D35" s="6">
        <f t="shared" si="2"/>
        <v>0.10980000000000001</v>
      </c>
    </row>
    <row r="36" spans="1:7" ht="15.75" customHeight="1">
      <c r="A36" s="12" t="str">
        <f>Referencias!B83</f>
        <v>Impressão A4</v>
      </c>
      <c r="B36" s="12">
        <v>0.02</v>
      </c>
      <c r="C36" s="6">
        <f>Referencias!F83</f>
        <v>0.5</v>
      </c>
      <c r="D36" s="6">
        <f t="shared" si="2"/>
        <v>0.01</v>
      </c>
    </row>
    <row r="37" spans="1:7" ht="15">
      <c r="A37" s="12" t="str">
        <f>Referencias!B37</f>
        <v>miolo 180gr A4</v>
      </c>
      <c r="B37" s="12">
        <v>0.16</v>
      </c>
      <c r="C37" s="6">
        <f>Referencias!F37</f>
        <v>0.32</v>
      </c>
      <c r="D37" s="6">
        <f t="shared" si="2"/>
        <v>5.1200000000000002E-2</v>
      </c>
    </row>
    <row r="38" spans="1:7" ht="15">
      <c r="A38" s="12" t="str">
        <f>Referencias!B28</f>
        <v>Impressao Miolo Frente Verso A4</v>
      </c>
      <c r="B38" s="13">
        <v>0.16</v>
      </c>
      <c r="C38" s="6">
        <f>Referencias!F28</f>
        <v>0.12</v>
      </c>
      <c r="D38" s="6">
        <f t="shared" si="2"/>
        <v>1.9199999999999998E-2</v>
      </c>
    </row>
    <row r="39" spans="1:7" ht="15">
      <c r="A39" s="12" t="str">
        <f>Referencias!B62</f>
        <v>Frete</v>
      </c>
      <c r="B39" s="13"/>
      <c r="C39" s="6">
        <f>Referencias!F62</f>
        <v>0</v>
      </c>
      <c r="D39" s="6">
        <f t="shared" si="2"/>
        <v>0</v>
      </c>
    </row>
    <row r="40" spans="1:7" ht="15">
      <c r="A40" s="12" t="str">
        <f>Referencias!B14</f>
        <v>Desgaste Bloquinho/Outros</v>
      </c>
      <c r="B40" s="13">
        <v>1</v>
      </c>
      <c r="C40" s="6">
        <f>Referencias!F14</f>
        <v>0.5</v>
      </c>
      <c r="D40" s="6">
        <f t="shared" si="2"/>
        <v>0.5</v>
      </c>
    </row>
    <row r="41" spans="1:7" ht="15">
      <c r="A41" s="12" t="str">
        <f>Referencias!B17</f>
        <v>Embalagem Padrão</v>
      </c>
      <c r="B41" s="13">
        <v>1</v>
      </c>
      <c r="C41" s="6">
        <f>Referencias!F17</f>
        <v>1.5</v>
      </c>
      <c r="D41" s="6">
        <f t="shared" si="2"/>
        <v>1.5</v>
      </c>
    </row>
    <row r="42" spans="1:7" ht="15">
      <c r="A42" s="2" t="s">
        <v>312</v>
      </c>
      <c r="B42" s="12"/>
      <c r="C42" s="6"/>
      <c r="D42" s="3">
        <f>SUM(D29:D41)</f>
        <v>5.3751999999999995</v>
      </c>
    </row>
    <row r="43" spans="1:7" ht="15">
      <c r="A43" s="2" t="s">
        <v>313</v>
      </c>
      <c r="B43" s="15">
        <v>0.55000000000000004</v>
      </c>
      <c r="C43" s="6">
        <f>D42*B43</f>
        <v>2.9563600000000001</v>
      </c>
      <c r="D43" s="3">
        <f>D42+C43</f>
        <v>8.3315599999999996</v>
      </c>
      <c r="E43" s="92"/>
      <c r="F43" s="93"/>
      <c r="G43" s="93"/>
    </row>
    <row r="44" spans="1:7" ht="15">
      <c r="A44" s="2" t="s">
        <v>314</v>
      </c>
      <c r="B44" s="12">
        <v>24</v>
      </c>
      <c r="C44" s="10">
        <v>15</v>
      </c>
      <c r="D44" s="10"/>
      <c r="E44" s="7"/>
      <c r="F44" s="7"/>
      <c r="G44" s="7"/>
    </row>
    <row r="45" spans="1:7" ht="15">
      <c r="A45" s="2" t="s">
        <v>315</v>
      </c>
      <c r="B45" s="12"/>
      <c r="C45" s="10"/>
      <c r="D45" s="11">
        <v>20</v>
      </c>
      <c r="E45" s="16"/>
      <c r="F45" s="16"/>
      <c r="G45" s="16"/>
    </row>
  </sheetData>
  <mergeCells count="6">
    <mergeCell ref="E43:G43"/>
    <mergeCell ref="A1:C1"/>
    <mergeCell ref="E11:G11"/>
    <mergeCell ref="A15:C15"/>
    <mergeCell ref="E24:G24"/>
    <mergeCell ref="A28:C2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T54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9" customWidth="1"/>
    <col min="3" max="4" width="7.7109375" customWidth="1"/>
    <col min="5" max="5" width="8.42578125" customWidth="1"/>
    <col min="6" max="7" width="7.42578125" customWidth="1"/>
    <col min="9" max="9" width="17.5703125" customWidth="1"/>
  </cols>
  <sheetData>
    <row r="1" spans="1:20" ht="15.75" customHeight="1">
      <c r="A1" s="89" t="s">
        <v>393</v>
      </c>
      <c r="B1" s="90"/>
      <c r="C1" s="91"/>
      <c r="D1" s="11">
        <v>6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5.75" customHeight="1">
      <c r="A2" s="12" t="str">
        <f>Referencias!B84</f>
        <v>Papel 180gr A4</v>
      </c>
      <c r="B2" s="13">
        <v>2</v>
      </c>
      <c r="C2" s="6">
        <f>Referencias!F84</f>
        <v>0.32</v>
      </c>
      <c r="D2" s="6">
        <f t="shared" ref="D2:D7" si="0">B2*C2</f>
        <v>0.64</v>
      </c>
    </row>
    <row r="3" spans="1:20" ht="15.75" customHeight="1">
      <c r="A3" s="12" t="str">
        <f>Referencias!B85</f>
        <v>Alça - Fio Nautico circulo branco</v>
      </c>
      <c r="B3" s="13">
        <f>0.26*2</f>
        <v>0.52</v>
      </c>
      <c r="C3" s="6">
        <f>Referencias!F85</f>
        <v>0.14000000000000001</v>
      </c>
      <c r="D3" s="6">
        <f t="shared" si="0"/>
        <v>7.2800000000000004E-2</v>
      </c>
    </row>
    <row r="4" spans="1:20" ht="15.75" customHeight="1">
      <c r="A4" s="12" t="str">
        <f>Referencias!B83</f>
        <v>Impressão A4</v>
      </c>
      <c r="B4" s="13">
        <v>2</v>
      </c>
      <c r="C4" s="6">
        <f>Referencias!F83</f>
        <v>0.5</v>
      </c>
      <c r="D4" s="6">
        <f t="shared" si="0"/>
        <v>1</v>
      </c>
    </row>
    <row r="5" spans="1:20" ht="15.75" customHeight="1">
      <c r="A5" s="12" t="str">
        <f>Referencias!B62</f>
        <v>Frete</v>
      </c>
      <c r="B5" s="12"/>
      <c r="C5" s="6">
        <f>Referencias!F62</f>
        <v>0</v>
      </c>
      <c r="D5" s="6">
        <f t="shared" si="0"/>
        <v>0</v>
      </c>
    </row>
    <row r="6" spans="1:20" ht="15.75" customHeight="1">
      <c r="A6" s="12" t="str">
        <f>Referencias!B14</f>
        <v>Desgaste Bloquinho/Outros</v>
      </c>
      <c r="B6" s="13">
        <v>1</v>
      </c>
      <c r="C6" s="6">
        <f>Referencias!F14</f>
        <v>0.5</v>
      </c>
      <c r="D6" s="6">
        <f t="shared" si="0"/>
        <v>0.5</v>
      </c>
    </row>
    <row r="7" spans="1:20" ht="15.75" customHeight="1">
      <c r="A7" s="12" t="str">
        <f>Referencias!B17</f>
        <v>Embalagem Padrão</v>
      </c>
      <c r="B7" s="13">
        <v>1</v>
      </c>
      <c r="C7" s="6">
        <f>Referencias!F17</f>
        <v>1.5</v>
      </c>
      <c r="D7" s="6">
        <f t="shared" si="0"/>
        <v>1.5</v>
      </c>
    </row>
    <row r="8" spans="1:20" ht="15.75" customHeight="1">
      <c r="A8" s="2" t="s">
        <v>312</v>
      </c>
      <c r="B8" s="12"/>
      <c r="C8" s="6"/>
      <c r="D8" s="3">
        <f>SUM(D2:D7)</f>
        <v>3.7128000000000001</v>
      </c>
    </row>
    <row r="9" spans="1:20" ht="15.75" customHeight="1">
      <c r="A9" s="2" t="s">
        <v>313</v>
      </c>
      <c r="B9" s="15">
        <v>0.55000000000000004</v>
      </c>
      <c r="C9" s="6">
        <f>D8*B9</f>
        <v>2.0420400000000001</v>
      </c>
      <c r="D9" s="3">
        <f>D8+C9</f>
        <v>5.7548399999999997</v>
      </c>
      <c r="E9" s="92"/>
      <c r="F9" s="93"/>
      <c r="G9" s="93"/>
    </row>
    <row r="10" spans="1:20" ht="15.75" customHeight="1">
      <c r="A10" s="2" t="s">
        <v>314</v>
      </c>
      <c r="B10" s="12"/>
      <c r="C10" s="10"/>
      <c r="D10" s="10"/>
      <c r="E10" s="7"/>
      <c r="F10" s="7"/>
      <c r="G10" s="7"/>
    </row>
    <row r="11" spans="1:20" ht="15.75" customHeight="1">
      <c r="A11" s="2" t="s">
        <v>315</v>
      </c>
      <c r="B11" s="12"/>
      <c r="C11" s="10"/>
      <c r="D11" s="11">
        <v>6</v>
      </c>
      <c r="E11" s="16"/>
      <c r="F11" s="16"/>
      <c r="G11" s="16"/>
    </row>
    <row r="12" spans="1:20" ht="15.75" customHeight="1">
      <c r="I12" s="73"/>
      <c r="J12" s="81"/>
      <c r="K12" s="81"/>
      <c r="L12" s="81"/>
      <c r="M12" s="81"/>
      <c r="N12" s="31"/>
      <c r="O12" s="31"/>
      <c r="P12" s="31"/>
      <c r="Q12" s="31"/>
      <c r="R12" s="31"/>
      <c r="S12" s="31"/>
      <c r="T12" s="31"/>
    </row>
    <row r="13" spans="1:20" ht="15.75" customHeight="1">
      <c r="A13" s="89" t="s">
        <v>394</v>
      </c>
      <c r="B13" s="90"/>
      <c r="C13" s="91"/>
      <c r="D13" s="3">
        <v>7</v>
      </c>
      <c r="I13" s="7"/>
      <c r="J13" s="8"/>
      <c r="K13" s="82"/>
      <c r="L13" s="9"/>
      <c r="M13" s="9"/>
      <c r="N13" s="31"/>
      <c r="O13" s="9"/>
      <c r="P13" s="31"/>
      <c r="Q13" s="70"/>
      <c r="R13" s="70"/>
      <c r="S13" s="70"/>
      <c r="T13" s="70"/>
    </row>
    <row r="14" spans="1:20" ht="15.75" customHeight="1">
      <c r="A14" s="12" t="str">
        <f>Referencias!B84</f>
        <v>Papel 180gr A4</v>
      </c>
      <c r="B14" s="13">
        <v>3</v>
      </c>
      <c r="C14" s="6">
        <f>Referencias!F84</f>
        <v>0.32</v>
      </c>
      <c r="D14" s="6">
        <f t="shared" ref="D14:D19" si="1">B14*C14</f>
        <v>0.96</v>
      </c>
      <c r="I14" s="31"/>
      <c r="J14" s="70"/>
      <c r="K14" s="82"/>
      <c r="L14" s="31"/>
      <c r="M14" s="9"/>
      <c r="N14" s="31"/>
      <c r="O14" s="31"/>
      <c r="P14" s="31"/>
      <c r="Q14" s="83"/>
      <c r="R14" s="70"/>
      <c r="S14" s="70"/>
      <c r="T14" s="70"/>
    </row>
    <row r="15" spans="1:20" ht="15.75" customHeight="1">
      <c r="A15" s="12" t="str">
        <f>Referencias!B85</f>
        <v>Alça - Fio Nautico circulo branco</v>
      </c>
      <c r="B15" s="13">
        <f>0.32*2</f>
        <v>0.64</v>
      </c>
      <c r="C15" s="6">
        <f>Referencias!F85</f>
        <v>0.14000000000000001</v>
      </c>
      <c r="D15" s="6">
        <f t="shared" si="1"/>
        <v>8.9600000000000013E-2</v>
      </c>
      <c r="I15" s="31"/>
      <c r="J15" s="31"/>
      <c r="K15" s="31"/>
      <c r="L15" s="31"/>
      <c r="M15" s="9"/>
      <c r="N15" s="9"/>
      <c r="O15" s="82"/>
      <c r="P15" s="82"/>
      <c r="Q15" s="31"/>
      <c r="R15" s="70"/>
      <c r="S15" s="70"/>
      <c r="T15" s="70"/>
    </row>
    <row r="16" spans="1:20" ht="15.75" customHeight="1">
      <c r="A16" s="12" t="str">
        <f>Referencias!B83</f>
        <v>Impressão A4</v>
      </c>
      <c r="B16" s="13">
        <v>3</v>
      </c>
      <c r="C16" s="6">
        <f>Referencias!F83</f>
        <v>0.5</v>
      </c>
      <c r="D16" s="6">
        <f t="shared" si="1"/>
        <v>1.5</v>
      </c>
    </row>
    <row r="17" spans="1:7" ht="15.75" customHeight="1">
      <c r="A17" s="12" t="str">
        <f>Referencias!B62</f>
        <v>Frete</v>
      </c>
      <c r="B17" s="12"/>
      <c r="C17" s="6">
        <f>Referencias!F62</f>
        <v>0</v>
      </c>
      <c r="D17" s="6">
        <f t="shared" si="1"/>
        <v>0</v>
      </c>
    </row>
    <row r="18" spans="1:7" ht="15.75" customHeight="1">
      <c r="A18" s="12" t="str">
        <f>Referencias!B14</f>
        <v>Desgaste Bloquinho/Outros</v>
      </c>
      <c r="B18" s="13">
        <v>1</v>
      </c>
      <c r="C18" s="6">
        <f>Referencias!F14</f>
        <v>0.5</v>
      </c>
      <c r="D18" s="6">
        <f t="shared" si="1"/>
        <v>0.5</v>
      </c>
    </row>
    <row r="19" spans="1:7" ht="15.75" customHeight="1">
      <c r="A19" s="12" t="str">
        <f>Referencias!B17</f>
        <v>Embalagem Padrão</v>
      </c>
      <c r="B19" s="13">
        <v>1</v>
      </c>
      <c r="C19" s="6">
        <f>Referencias!F17</f>
        <v>1.5</v>
      </c>
      <c r="D19" s="6">
        <f t="shared" si="1"/>
        <v>1.5</v>
      </c>
    </row>
    <row r="20" spans="1:7" ht="15.75" customHeight="1">
      <c r="A20" s="2" t="s">
        <v>312</v>
      </c>
      <c r="B20" s="12"/>
      <c r="C20" s="6"/>
      <c r="D20" s="3">
        <f>SUM(D14:D19)</f>
        <v>4.5495999999999999</v>
      </c>
    </row>
    <row r="21" spans="1:7" ht="15.75" customHeight="1">
      <c r="A21" s="2" t="s">
        <v>313</v>
      </c>
      <c r="B21" s="15">
        <v>0.55000000000000004</v>
      </c>
      <c r="C21" s="6">
        <f>D20*B21</f>
        <v>2.5022800000000003</v>
      </c>
      <c r="D21" s="3">
        <f>D20+C21</f>
        <v>7.0518800000000006</v>
      </c>
      <c r="E21" s="92"/>
      <c r="F21" s="93"/>
      <c r="G21" s="93"/>
    </row>
    <row r="22" spans="1:7" ht="15.75" customHeight="1">
      <c r="A22" s="2" t="s">
        <v>314</v>
      </c>
      <c r="B22" s="29"/>
      <c r="C22" s="36"/>
      <c r="D22" s="10"/>
      <c r="E22" s="7"/>
      <c r="F22" s="7"/>
      <c r="G22" s="7"/>
    </row>
    <row r="23" spans="1:7" ht="15.75" customHeight="1">
      <c r="A23" s="2" t="s">
        <v>315</v>
      </c>
      <c r="B23" s="37"/>
      <c r="C23" s="36"/>
      <c r="D23" s="3">
        <v>7</v>
      </c>
      <c r="E23" s="16"/>
      <c r="F23" s="16"/>
      <c r="G23" s="16"/>
    </row>
    <row r="25" spans="1:7" ht="15.75" customHeight="1">
      <c r="A25" s="96" t="s">
        <v>395</v>
      </c>
      <c r="B25" s="90"/>
      <c r="C25" s="91"/>
      <c r="D25" s="3">
        <v>5.5</v>
      </c>
    </row>
    <row r="26" spans="1:7" ht="15.75" customHeight="1">
      <c r="A26" s="12" t="str">
        <f>Referencias!B84</f>
        <v>Papel 180gr A4</v>
      </c>
      <c r="B26" s="13">
        <v>1</v>
      </c>
      <c r="C26" s="6">
        <f>Referencias!F84</f>
        <v>0.32</v>
      </c>
      <c r="D26" s="6">
        <f t="shared" ref="D26:D31" si="2">B26*C26</f>
        <v>0.32</v>
      </c>
    </row>
    <row r="27" spans="1:7" ht="15.75" customHeight="1">
      <c r="A27" s="12" t="str">
        <f>Referencias!B85</f>
        <v>Alça - Fio Nautico circulo branco</v>
      </c>
      <c r="B27" s="13">
        <v>0.51</v>
      </c>
      <c r="C27" s="6">
        <f>Referencias!F85</f>
        <v>0.14000000000000001</v>
      </c>
      <c r="D27" s="6">
        <f t="shared" si="2"/>
        <v>7.1400000000000005E-2</v>
      </c>
    </row>
    <row r="28" spans="1:7" ht="15.75" customHeight="1">
      <c r="A28" s="12" t="str">
        <f>Referencias!B83</f>
        <v>Impressão A4</v>
      </c>
      <c r="B28" s="13">
        <v>1</v>
      </c>
      <c r="C28" s="6">
        <f>Referencias!F83</f>
        <v>0.5</v>
      </c>
      <c r="D28" s="6">
        <f t="shared" si="2"/>
        <v>0.5</v>
      </c>
    </row>
    <row r="29" spans="1:7" ht="15.75" customHeight="1">
      <c r="A29" s="12" t="str">
        <f>Referencias!B62</f>
        <v>Frete</v>
      </c>
      <c r="B29" s="12"/>
      <c r="C29" s="6">
        <f>Referencias!F62</f>
        <v>0</v>
      </c>
      <c r="D29" s="6">
        <f t="shared" si="2"/>
        <v>0</v>
      </c>
    </row>
    <row r="30" spans="1:7" ht="15.75" customHeight="1">
      <c r="A30" s="12" t="str">
        <f>Referencias!B13</f>
        <v>Desgaste Agenda</v>
      </c>
      <c r="B30" s="13">
        <v>1</v>
      </c>
      <c r="C30" s="6">
        <f>Referencias!F13</f>
        <v>1</v>
      </c>
      <c r="D30" s="6">
        <f t="shared" si="2"/>
        <v>1</v>
      </c>
    </row>
    <row r="31" spans="1:7" ht="15.75" customHeight="1">
      <c r="A31" s="12" t="str">
        <f>Referencias!B17</f>
        <v>Embalagem Padrão</v>
      </c>
      <c r="B31" s="13">
        <v>1</v>
      </c>
      <c r="C31" s="6">
        <f>Referencias!F17</f>
        <v>1.5</v>
      </c>
      <c r="D31" s="6">
        <f t="shared" si="2"/>
        <v>1.5</v>
      </c>
    </row>
    <row r="32" spans="1:7" ht="15.75" customHeight="1">
      <c r="A32" s="2" t="s">
        <v>312</v>
      </c>
      <c r="B32" s="12"/>
      <c r="C32" s="6"/>
      <c r="D32" s="3">
        <f>SUM(D26:D31)</f>
        <v>3.3914</v>
      </c>
    </row>
    <row r="33" spans="1:7" ht="15.75" customHeight="1">
      <c r="A33" s="2" t="s">
        <v>313</v>
      </c>
      <c r="B33" s="15">
        <v>0.55000000000000004</v>
      </c>
      <c r="C33" s="6">
        <f>D32*B33</f>
        <v>1.8652700000000002</v>
      </c>
      <c r="D33" s="3">
        <f>D32+C33</f>
        <v>5.2566699999999997</v>
      </c>
      <c r="E33" s="92"/>
      <c r="F33" s="93"/>
      <c r="G33" s="93"/>
    </row>
    <row r="34" spans="1:7" ht="15.75" customHeight="1">
      <c r="A34" s="2" t="s">
        <v>314</v>
      </c>
      <c r="B34" s="29"/>
      <c r="C34" s="10"/>
      <c r="D34" s="10"/>
      <c r="E34" s="7"/>
      <c r="F34" s="7"/>
      <c r="G34" s="7"/>
    </row>
    <row r="35" spans="1:7" ht="15.75" customHeight="1">
      <c r="A35" s="2" t="s">
        <v>315</v>
      </c>
      <c r="B35" s="37"/>
      <c r="C35" s="10"/>
      <c r="D35" s="3">
        <v>5.5</v>
      </c>
      <c r="E35" s="16"/>
      <c r="F35" s="16"/>
      <c r="G35" s="16"/>
    </row>
    <row r="37" spans="1:7" ht="15">
      <c r="A37" s="89" t="s">
        <v>396</v>
      </c>
      <c r="B37" s="90"/>
      <c r="C37" s="91"/>
      <c r="D37" s="23">
        <v>8</v>
      </c>
      <c r="E37" s="18"/>
      <c r="F37" s="18"/>
    </row>
    <row r="38" spans="1:7" ht="15">
      <c r="A38" s="19" t="str">
        <f>Referencias!B86</f>
        <v>Papel 180gr A4 Reciclado</v>
      </c>
      <c r="B38" s="26">
        <v>3</v>
      </c>
      <c r="C38" s="6">
        <f>Referencias!F86</f>
        <v>0.25</v>
      </c>
      <c r="D38" s="21">
        <f t="shared" ref="D38:D43" si="3">B38*C38</f>
        <v>0.75</v>
      </c>
      <c r="E38" s="18"/>
      <c r="F38" s="18"/>
      <c r="G38" s="18"/>
    </row>
    <row r="39" spans="1:7" ht="15">
      <c r="A39" s="19" t="str">
        <f>Referencias!B87</f>
        <v>Alça - Cordão de Algodão</v>
      </c>
      <c r="B39" s="26">
        <v>0.51</v>
      </c>
      <c r="C39" s="6">
        <f>Referencias!F87</f>
        <v>0.52</v>
      </c>
      <c r="D39" s="21">
        <f t="shared" si="3"/>
        <v>0.26519999999999999</v>
      </c>
      <c r="E39" s="18"/>
      <c r="F39" s="18"/>
      <c r="G39" s="18"/>
    </row>
    <row r="40" spans="1:7" ht="15">
      <c r="A40" s="19" t="str">
        <f>Referencias!B83</f>
        <v>Impressão A4</v>
      </c>
      <c r="B40" s="13">
        <v>3</v>
      </c>
      <c r="C40" s="6">
        <f>Referencias!F83</f>
        <v>0.5</v>
      </c>
      <c r="D40" s="21">
        <f t="shared" si="3"/>
        <v>1.5</v>
      </c>
      <c r="E40" s="18"/>
      <c r="F40" s="18"/>
      <c r="G40" s="18"/>
    </row>
    <row r="41" spans="1:7" ht="15">
      <c r="A41" s="19" t="str">
        <f>Referencias!B62</f>
        <v>Frete</v>
      </c>
      <c r="B41" s="27"/>
      <c r="C41" s="28">
        <f>Referencias!F62</f>
        <v>0</v>
      </c>
      <c r="D41" s="21">
        <f t="shared" si="3"/>
        <v>0</v>
      </c>
      <c r="E41" s="18"/>
      <c r="F41" s="18"/>
      <c r="G41" s="18"/>
    </row>
    <row r="42" spans="1:7" ht="15">
      <c r="A42" s="19" t="str">
        <f>Referencias!B13</f>
        <v>Desgaste Agenda</v>
      </c>
      <c r="B42" s="26">
        <v>1</v>
      </c>
      <c r="C42" s="6">
        <f>Referencias!F13</f>
        <v>1</v>
      </c>
      <c r="D42" s="21">
        <f t="shared" si="3"/>
        <v>1</v>
      </c>
      <c r="E42" s="18"/>
      <c r="F42" s="18"/>
      <c r="G42" s="18"/>
    </row>
    <row r="43" spans="1:7" ht="15">
      <c r="A43" s="19" t="str">
        <f>Referencias!B17</f>
        <v>Embalagem Padrão</v>
      </c>
      <c r="B43" s="26">
        <v>1</v>
      </c>
      <c r="C43" s="6">
        <f>Referencias!F17</f>
        <v>1.5</v>
      </c>
      <c r="D43" s="21">
        <f t="shared" si="3"/>
        <v>1.5</v>
      </c>
      <c r="E43" s="18"/>
      <c r="F43" s="18"/>
      <c r="G43" s="18"/>
    </row>
    <row r="44" spans="1:7" ht="15">
      <c r="A44" s="22" t="s">
        <v>312</v>
      </c>
      <c r="B44" s="27"/>
      <c r="C44" s="28"/>
      <c r="D44" s="23">
        <f>SUM(D38:D43)</f>
        <v>5.0152000000000001</v>
      </c>
      <c r="E44" s="18"/>
      <c r="F44" s="18"/>
      <c r="G44" s="18"/>
    </row>
    <row r="45" spans="1:7" ht="15">
      <c r="A45" s="22" t="s">
        <v>313</v>
      </c>
      <c r="B45" s="24">
        <v>0.55000000000000004</v>
      </c>
      <c r="C45" s="21">
        <f>D44*B45</f>
        <v>2.7583600000000001</v>
      </c>
      <c r="D45" s="23">
        <f>D44+C45</f>
        <v>7.7735599999999998</v>
      </c>
      <c r="E45" s="92"/>
      <c r="F45" s="93"/>
      <c r="G45" s="93"/>
    </row>
    <row r="46" spans="1:7" ht="15">
      <c r="A46" s="22" t="s">
        <v>314</v>
      </c>
      <c r="B46" s="19"/>
      <c r="C46" s="27"/>
      <c r="D46" s="27"/>
      <c r="E46" s="7"/>
      <c r="F46" s="7"/>
      <c r="G46" s="7"/>
    </row>
    <row r="47" spans="1:7" ht="15">
      <c r="A47" s="22" t="s">
        <v>315</v>
      </c>
      <c r="B47" s="38"/>
      <c r="C47" s="27"/>
      <c r="D47" s="23">
        <v>8</v>
      </c>
      <c r="E47" s="16"/>
      <c r="F47" s="16"/>
      <c r="G47" s="16"/>
    </row>
    <row r="54" spans="2:2" ht="12.75">
      <c r="B54" s="14"/>
    </row>
  </sheetData>
  <mergeCells count="8">
    <mergeCell ref="E33:G33"/>
    <mergeCell ref="A37:C37"/>
    <mergeCell ref="E45:G45"/>
    <mergeCell ref="A1:C1"/>
    <mergeCell ref="E9:G9"/>
    <mergeCell ref="A13:C13"/>
    <mergeCell ref="E21:G21"/>
    <mergeCell ref="A25:C25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T54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9" customWidth="1"/>
    <col min="3" max="4" width="7.7109375" customWidth="1"/>
    <col min="5" max="5" width="8.42578125" customWidth="1"/>
    <col min="6" max="7" width="7.42578125" customWidth="1"/>
    <col min="9" max="9" width="17.5703125" customWidth="1"/>
  </cols>
  <sheetData>
    <row r="1" spans="1:20" ht="15.75" customHeight="1">
      <c r="A1" s="89" t="s">
        <v>393</v>
      </c>
      <c r="B1" s="90"/>
      <c r="C1" s="91"/>
      <c r="D1" s="11">
        <v>6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5.75" customHeight="1">
      <c r="A2" s="12" t="str">
        <f>Referencias!B84</f>
        <v>Papel 180gr A4</v>
      </c>
      <c r="B2" s="13">
        <v>120</v>
      </c>
      <c r="C2" s="6">
        <f>Referencias!F84</f>
        <v>0.32</v>
      </c>
      <c r="D2" s="6">
        <f t="shared" ref="D2:D7" si="0">B2*C2</f>
        <v>38.4</v>
      </c>
    </row>
    <row r="3" spans="1:20" ht="15.75" customHeight="1">
      <c r="A3" s="12" t="str">
        <f>Referencias!B85</f>
        <v>Alça - Fio Nautico circulo branco</v>
      </c>
      <c r="B3" s="13">
        <f>0.26*2*60</f>
        <v>31.200000000000003</v>
      </c>
      <c r="C3" s="6">
        <f>Referencias!F85</f>
        <v>0.14000000000000001</v>
      </c>
      <c r="D3" s="6">
        <f t="shared" si="0"/>
        <v>4.3680000000000012</v>
      </c>
    </row>
    <row r="4" spans="1:20" ht="15.75" customHeight="1">
      <c r="A4" s="12" t="str">
        <f>Referencias!B83</f>
        <v>Impressão A4</v>
      </c>
      <c r="B4" s="13">
        <v>120</v>
      </c>
      <c r="C4" s="6">
        <f>Referencias!F83</f>
        <v>0.5</v>
      </c>
      <c r="D4" s="6">
        <f t="shared" si="0"/>
        <v>60</v>
      </c>
    </row>
    <row r="5" spans="1:20" ht="15.75" customHeight="1">
      <c r="A5" s="12" t="str">
        <f>Referencias!B62</f>
        <v>Frete</v>
      </c>
      <c r="B5" s="12"/>
      <c r="C5" s="6">
        <f>Referencias!F62</f>
        <v>0</v>
      </c>
      <c r="D5" s="6">
        <f t="shared" si="0"/>
        <v>0</v>
      </c>
    </row>
    <row r="6" spans="1:20" ht="15.75" customHeight="1">
      <c r="A6" s="12" t="str">
        <f>Referencias!B14</f>
        <v>Desgaste Bloquinho/Outros</v>
      </c>
      <c r="B6" s="13">
        <v>1</v>
      </c>
      <c r="C6" s="6">
        <f>Referencias!F14</f>
        <v>0.5</v>
      </c>
      <c r="D6" s="6">
        <f t="shared" si="0"/>
        <v>0.5</v>
      </c>
    </row>
    <row r="7" spans="1:20" ht="15.75" customHeight="1">
      <c r="A7" s="12" t="str">
        <f>Referencias!B17</f>
        <v>Embalagem Padrão</v>
      </c>
      <c r="B7" s="13">
        <v>1</v>
      </c>
      <c r="C7" s="6">
        <f>Referencias!F17</f>
        <v>1.5</v>
      </c>
      <c r="D7" s="6">
        <f t="shared" si="0"/>
        <v>1.5</v>
      </c>
    </row>
    <row r="8" spans="1:20" ht="15.75" customHeight="1">
      <c r="A8" s="2" t="s">
        <v>312</v>
      </c>
      <c r="B8" s="12"/>
      <c r="C8" s="6"/>
      <c r="D8" s="3">
        <f>SUM(D2:D7)</f>
        <v>104.768</v>
      </c>
    </row>
    <row r="9" spans="1:20" ht="15.75" customHeight="1">
      <c r="A9" s="2" t="s">
        <v>313</v>
      </c>
      <c r="B9" s="15">
        <v>0.55000000000000004</v>
      </c>
      <c r="C9" s="6">
        <f>D8*B9</f>
        <v>57.622400000000006</v>
      </c>
      <c r="D9" s="3">
        <f>D8+C9</f>
        <v>162.3904</v>
      </c>
      <c r="E9" s="92"/>
      <c r="F9" s="93"/>
      <c r="G9" s="93"/>
    </row>
    <row r="10" spans="1:20" ht="15.75" customHeight="1">
      <c r="A10" s="2" t="s">
        <v>314</v>
      </c>
      <c r="B10" s="12"/>
      <c r="C10" s="10"/>
      <c r="D10" s="10"/>
      <c r="E10" s="7"/>
      <c r="F10" s="7"/>
      <c r="G10" s="7"/>
    </row>
    <row r="11" spans="1:20" ht="15.75" customHeight="1">
      <c r="A11" s="2" t="s">
        <v>315</v>
      </c>
      <c r="B11" s="12"/>
      <c r="C11" s="10"/>
      <c r="D11" s="11">
        <v>6</v>
      </c>
      <c r="E11" s="16"/>
      <c r="F11" s="16"/>
      <c r="G11" s="16"/>
    </row>
    <row r="12" spans="1:20" ht="15.75" customHeight="1">
      <c r="I12" s="73"/>
      <c r="J12" s="81"/>
      <c r="K12" s="81"/>
      <c r="L12" s="81"/>
      <c r="M12" s="81"/>
      <c r="N12" s="31"/>
      <c r="O12" s="31"/>
      <c r="P12" s="31"/>
      <c r="Q12" s="31"/>
      <c r="R12" s="31"/>
      <c r="S12" s="31"/>
      <c r="T12" s="31"/>
    </row>
    <row r="13" spans="1:20" ht="15.75" customHeight="1">
      <c r="A13" s="89" t="s">
        <v>394</v>
      </c>
      <c r="B13" s="90"/>
      <c r="C13" s="91"/>
      <c r="D13" s="3">
        <v>7</v>
      </c>
      <c r="I13" s="7"/>
      <c r="J13" s="8"/>
      <c r="K13" s="82"/>
      <c r="L13" s="9"/>
      <c r="M13" s="9"/>
      <c r="N13" s="31"/>
      <c r="O13" s="9"/>
      <c r="P13" s="31"/>
      <c r="Q13" s="70"/>
      <c r="R13" s="70"/>
      <c r="S13" s="70"/>
      <c r="T13" s="70"/>
    </row>
    <row r="14" spans="1:20" ht="15.75" customHeight="1">
      <c r="A14" s="12" t="str">
        <f>Referencias!B84</f>
        <v>Papel 180gr A4</v>
      </c>
      <c r="B14" s="13">
        <v>3</v>
      </c>
      <c r="C14" s="6">
        <f>Referencias!F84</f>
        <v>0.32</v>
      </c>
      <c r="D14" s="6">
        <f t="shared" ref="D14:D19" si="1">B14*C14</f>
        <v>0.96</v>
      </c>
      <c r="I14" s="31"/>
      <c r="J14" s="70"/>
      <c r="K14" s="82"/>
      <c r="L14" s="31"/>
      <c r="M14" s="9"/>
      <c r="N14" s="31"/>
      <c r="O14" s="31"/>
      <c r="P14" s="31"/>
      <c r="Q14" s="83"/>
      <c r="R14" s="70"/>
      <c r="S14" s="70"/>
      <c r="T14" s="70"/>
    </row>
    <row r="15" spans="1:20" ht="15.75" customHeight="1">
      <c r="A15" s="12" t="str">
        <f>Referencias!B85</f>
        <v>Alça - Fio Nautico circulo branco</v>
      </c>
      <c r="B15" s="13">
        <f>0.32*2</f>
        <v>0.64</v>
      </c>
      <c r="C15" s="6">
        <f>Referencias!F85</f>
        <v>0.14000000000000001</v>
      </c>
      <c r="D15" s="6">
        <f t="shared" si="1"/>
        <v>8.9600000000000013E-2</v>
      </c>
      <c r="I15" s="31"/>
      <c r="J15" s="31"/>
      <c r="K15" s="31"/>
      <c r="L15" s="31"/>
      <c r="M15" s="9"/>
      <c r="N15" s="9"/>
      <c r="O15" s="82"/>
      <c r="P15" s="82"/>
      <c r="Q15" s="31"/>
      <c r="R15" s="70"/>
      <c r="S15" s="70"/>
      <c r="T15" s="70"/>
    </row>
    <row r="16" spans="1:20" ht="15.75" customHeight="1">
      <c r="A16" s="12" t="str">
        <f>Referencias!B83</f>
        <v>Impressão A4</v>
      </c>
      <c r="B16" s="13">
        <v>3</v>
      </c>
      <c r="C16" s="6">
        <f>Referencias!F83</f>
        <v>0.5</v>
      </c>
      <c r="D16" s="6">
        <f t="shared" si="1"/>
        <v>1.5</v>
      </c>
    </row>
    <row r="17" spans="1:7" ht="15.75" customHeight="1">
      <c r="A17" s="12" t="str">
        <f>Referencias!B62</f>
        <v>Frete</v>
      </c>
      <c r="B17" s="12"/>
      <c r="C17" s="6">
        <f>Referencias!F62</f>
        <v>0</v>
      </c>
      <c r="D17" s="6">
        <f t="shared" si="1"/>
        <v>0</v>
      </c>
    </row>
    <row r="18" spans="1:7" ht="15.75" customHeight="1">
      <c r="A18" s="12" t="str">
        <f>Referencias!B14</f>
        <v>Desgaste Bloquinho/Outros</v>
      </c>
      <c r="B18" s="13">
        <v>1</v>
      </c>
      <c r="C18" s="6">
        <f>Referencias!F14</f>
        <v>0.5</v>
      </c>
      <c r="D18" s="6">
        <f t="shared" si="1"/>
        <v>0.5</v>
      </c>
    </row>
    <row r="19" spans="1:7" ht="15.75" customHeight="1">
      <c r="A19" s="12" t="str">
        <f>Referencias!B17</f>
        <v>Embalagem Padrão</v>
      </c>
      <c r="B19" s="13">
        <v>1</v>
      </c>
      <c r="C19" s="6">
        <f>Referencias!F17</f>
        <v>1.5</v>
      </c>
      <c r="D19" s="6">
        <f t="shared" si="1"/>
        <v>1.5</v>
      </c>
    </row>
    <row r="20" spans="1:7" ht="15.75" customHeight="1">
      <c r="A20" s="2" t="s">
        <v>312</v>
      </c>
      <c r="B20" s="12"/>
      <c r="C20" s="6"/>
      <c r="D20" s="3">
        <f>SUM(D14:D19)</f>
        <v>4.5495999999999999</v>
      </c>
    </row>
    <row r="21" spans="1:7" ht="15.75" customHeight="1">
      <c r="A21" s="2" t="s">
        <v>313</v>
      </c>
      <c r="B21" s="15">
        <v>0.55000000000000004</v>
      </c>
      <c r="C21" s="6">
        <f>D20*B21</f>
        <v>2.5022800000000003</v>
      </c>
      <c r="D21" s="3">
        <f>D20+C21</f>
        <v>7.0518800000000006</v>
      </c>
      <c r="E21" s="92"/>
      <c r="F21" s="93"/>
      <c r="G21" s="93"/>
    </row>
    <row r="22" spans="1:7" ht="15.75" customHeight="1">
      <c r="A22" s="2" t="s">
        <v>314</v>
      </c>
      <c r="B22" s="29"/>
      <c r="C22" s="36"/>
      <c r="D22" s="10"/>
      <c r="E22" s="7"/>
      <c r="F22" s="7"/>
      <c r="G22" s="7"/>
    </row>
    <row r="23" spans="1:7" ht="15.75" customHeight="1">
      <c r="A23" s="2" t="s">
        <v>315</v>
      </c>
      <c r="B23" s="37"/>
      <c r="C23" s="36"/>
      <c r="D23" s="3">
        <v>7</v>
      </c>
      <c r="E23" s="16"/>
      <c r="F23" s="16"/>
      <c r="G23" s="16"/>
    </row>
    <row r="25" spans="1:7" ht="15.75" customHeight="1">
      <c r="A25" s="96" t="s">
        <v>395</v>
      </c>
      <c r="B25" s="90"/>
      <c r="C25" s="91"/>
      <c r="D25" s="3">
        <v>5.5</v>
      </c>
    </row>
    <row r="26" spans="1:7" ht="15.75" customHeight="1">
      <c r="A26" s="12" t="str">
        <f>Referencias!B84</f>
        <v>Papel 180gr A4</v>
      </c>
      <c r="B26" s="13">
        <v>1</v>
      </c>
      <c r="C26" s="6">
        <f>Referencias!F84</f>
        <v>0.32</v>
      </c>
      <c r="D26" s="6">
        <f t="shared" ref="D26:D31" si="2">B26*C26</f>
        <v>0.32</v>
      </c>
    </row>
    <row r="27" spans="1:7" ht="15.75" customHeight="1">
      <c r="A27" s="12" t="str">
        <f>Referencias!B85</f>
        <v>Alça - Fio Nautico circulo branco</v>
      </c>
      <c r="B27" s="13">
        <v>0.51</v>
      </c>
      <c r="C27" s="6">
        <f>Referencias!F85</f>
        <v>0.14000000000000001</v>
      </c>
      <c r="D27" s="6">
        <f t="shared" si="2"/>
        <v>7.1400000000000005E-2</v>
      </c>
    </row>
    <row r="28" spans="1:7" ht="15.75" customHeight="1">
      <c r="A28" s="12" t="str">
        <f>Referencias!B83</f>
        <v>Impressão A4</v>
      </c>
      <c r="B28" s="13">
        <v>1</v>
      </c>
      <c r="C28" s="6">
        <f>Referencias!F83</f>
        <v>0.5</v>
      </c>
      <c r="D28" s="6">
        <f t="shared" si="2"/>
        <v>0.5</v>
      </c>
    </row>
    <row r="29" spans="1:7" ht="15.75" customHeight="1">
      <c r="A29" s="12" t="str">
        <f>Referencias!B62</f>
        <v>Frete</v>
      </c>
      <c r="B29" s="12"/>
      <c r="C29" s="6">
        <f>Referencias!F62</f>
        <v>0</v>
      </c>
      <c r="D29" s="6">
        <f t="shared" si="2"/>
        <v>0</v>
      </c>
    </row>
    <row r="30" spans="1:7" ht="15.75" customHeight="1">
      <c r="A30" s="12" t="str">
        <f>Referencias!B13</f>
        <v>Desgaste Agenda</v>
      </c>
      <c r="B30" s="13">
        <v>1</v>
      </c>
      <c r="C30" s="6">
        <f>Referencias!F13</f>
        <v>1</v>
      </c>
      <c r="D30" s="6">
        <f t="shared" si="2"/>
        <v>1</v>
      </c>
    </row>
    <row r="31" spans="1:7" ht="15.75" customHeight="1">
      <c r="A31" s="12" t="str">
        <f>Referencias!B17</f>
        <v>Embalagem Padrão</v>
      </c>
      <c r="B31" s="13">
        <v>1</v>
      </c>
      <c r="C31" s="6">
        <f>Referencias!F17</f>
        <v>1.5</v>
      </c>
      <c r="D31" s="6">
        <f t="shared" si="2"/>
        <v>1.5</v>
      </c>
    </row>
    <row r="32" spans="1:7" ht="15.75" customHeight="1">
      <c r="A32" s="2" t="s">
        <v>312</v>
      </c>
      <c r="B32" s="12"/>
      <c r="C32" s="6"/>
      <c r="D32" s="3">
        <f>SUM(D26:D31)</f>
        <v>3.3914</v>
      </c>
    </row>
    <row r="33" spans="1:7" ht="15.75" customHeight="1">
      <c r="A33" s="2" t="s">
        <v>313</v>
      </c>
      <c r="B33" s="15">
        <v>0.55000000000000004</v>
      </c>
      <c r="C33" s="6">
        <f>D32*B33</f>
        <v>1.8652700000000002</v>
      </c>
      <c r="D33" s="3">
        <f>D32+C33</f>
        <v>5.2566699999999997</v>
      </c>
      <c r="E33" s="92"/>
      <c r="F33" s="93"/>
      <c r="G33" s="93"/>
    </row>
    <row r="34" spans="1:7" ht="15.75" customHeight="1">
      <c r="A34" s="2" t="s">
        <v>314</v>
      </c>
      <c r="B34" s="29"/>
      <c r="C34" s="10"/>
      <c r="D34" s="10"/>
      <c r="E34" s="7"/>
      <c r="F34" s="7"/>
      <c r="G34" s="7"/>
    </row>
    <row r="35" spans="1:7" ht="15.75" customHeight="1">
      <c r="A35" s="2" t="s">
        <v>315</v>
      </c>
      <c r="B35" s="37"/>
      <c r="C35" s="10"/>
      <c r="D35" s="3">
        <v>5.5</v>
      </c>
      <c r="E35" s="16"/>
      <c r="F35" s="16"/>
      <c r="G35" s="16"/>
    </row>
    <row r="37" spans="1:7" ht="15">
      <c r="A37" s="89" t="s">
        <v>396</v>
      </c>
      <c r="B37" s="90"/>
      <c r="C37" s="91"/>
      <c r="D37" s="23">
        <v>8</v>
      </c>
      <c r="E37" s="18"/>
      <c r="F37" s="18"/>
    </row>
    <row r="38" spans="1:7" ht="15">
      <c r="A38" s="19" t="str">
        <f>Referencias!B86</f>
        <v>Papel 180gr A4 Reciclado</v>
      </c>
      <c r="B38" s="26">
        <v>3</v>
      </c>
      <c r="C38" s="6">
        <f>Referencias!F86</f>
        <v>0.25</v>
      </c>
      <c r="D38" s="21">
        <f t="shared" ref="D38:D43" si="3">B38*C38</f>
        <v>0.75</v>
      </c>
      <c r="E38" s="18"/>
      <c r="F38" s="18"/>
      <c r="G38" s="18"/>
    </row>
    <row r="39" spans="1:7" ht="15">
      <c r="A39" s="19" t="str">
        <f>Referencias!B87</f>
        <v>Alça - Cordão de Algodão</v>
      </c>
      <c r="B39" s="26">
        <v>0.51</v>
      </c>
      <c r="C39" s="6">
        <f>Referencias!F87</f>
        <v>0.52</v>
      </c>
      <c r="D39" s="21">
        <f t="shared" si="3"/>
        <v>0.26519999999999999</v>
      </c>
      <c r="E39" s="18"/>
      <c r="F39" s="18"/>
      <c r="G39" s="18"/>
    </row>
    <row r="40" spans="1:7" ht="15">
      <c r="A40" s="19" t="str">
        <f>Referencias!B83</f>
        <v>Impressão A4</v>
      </c>
      <c r="B40" s="13">
        <v>3</v>
      </c>
      <c r="C40" s="6">
        <f>Referencias!F83</f>
        <v>0.5</v>
      </c>
      <c r="D40" s="21">
        <f t="shared" si="3"/>
        <v>1.5</v>
      </c>
      <c r="E40" s="18"/>
      <c r="F40" s="18"/>
      <c r="G40" s="18"/>
    </row>
    <row r="41" spans="1:7" ht="15">
      <c r="A41" s="19" t="str">
        <f>Referencias!B62</f>
        <v>Frete</v>
      </c>
      <c r="B41" s="27"/>
      <c r="C41" s="28">
        <f>Referencias!F62</f>
        <v>0</v>
      </c>
      <c r="D41" s="21">
        <f t="shared" si="3"/>
        <v>0</v>
      </c>
      <c r="E41" s="18"/>
      <c r="F41" s="18"/>
      <c r="G41" s="18"/>
    </row>
    <row r="42" spans="1:7" ht="15">
      <c r="A42" s="19" t="str">
        <f>Referencias!B13</f>
        <v>Desgaste Agenda</v>
      </c>
      <c r="B42" s="26">
        <v>1</v>
      </c>
      <c r="C42" s="6">
        <f>Referencias!F13</f>
        <v>1</v>
      </c>
      <c r="D42" s="21">
        <f t="shared" si="3"/>
        <v>1</v>
      </c>
      <c r="E42" s="18"/>
      <c r="F42" s="18"/>
      <c r="G42" s="18"/>
    </row>
    <row r="43" spans="1:7" ht="15">
      <c r="A43" s="19" t="str">
        <f>Referencias!B17</f>
        <v>Embalagem Padrão</v>
      </c>
      <c r="B43" s="26">
        <v>1</v>
      </c>
      <c r="C43" s="6">
        <f>Referencias!F17</f>
        <v>1.5</v>
      </c>
      <c r="D43" s="21">
        <f t="shared" si="3"/>
        <v>1.5</v>
      </c>
      <c r="E43" s="18"/>
      <c r="F43" s="18"/>
      <c r="G43" s="18"/>
    </row>
    <row r="44" spans="1:7" ht="15">
      <c r="A44" s="22" t="s">
        <v>312</v>
      </c>
      <c r="B44" s="27"/>
      <c r="C44" s="28"/>
      <c r="D44" s="23">
        <f>SUM(D38:D43)</f>
        <v>5.0152000000000001</v>
      </c>
      <c r="E44" s="18"/>
      <c r="F44" s="18"/>
      <c r="G44" s="18"/>
    </row>
    <row r="45" spans="1:7" ht="15">
      <c r="A45" s="22" t="s">
        <v>313</v>
      </c>
      <c r="B45" s="24">
        <v>0.55000000000000004</v>
      </c>
      <c r="C45" s="21">
        <f>D44*B45</f>
        <v>2.7583600000000001</v>
      </c>
      <c r="D45" s="23">
        <f>D44+C45</f>
        <v>7.7735599999999998</v>
      </c>
      <c r="E45" s="92"/>
      <c r="F45" s="93"/>
      <c r="G45" s="93"/>
    </row>
    <row r="46" spans="1:7" ht="15">
      <c r="A46" s="22" t="s">
        <v>314</v>
      </c>
      <c r="B46" s="19"/>
      <c r="C46" s="27"/>
      <c r="D46" s="27"/>
      <c r="E46" s="7"/>
      <c r="F46" s="7"/>
      <c r="G46" s="7"/>
    </row>
    <row r="47" spans="1:7" ht="15">
      <c r="A47" s="22" t="s">
        <v>315</v>
      </c>
      <c r="B47" s="38"/>
      <c r="C47" s="27"/>
      <c r="D47" s="23">
        <v>8</v>
      </c>
      <c r="E47" s="16"/>
      <c r="F47" s="16"/>
      <c r="G47" s="16"/>
    </row>
    <row r="54" spans="2:2" ht="12.75">
      <c r="B54" s="14"/>
    </row>
  </sheetData>
  <mergeCells count="8">
    <mergeCell ref="E33:G33"/>
    <mergeCell ref="A37:C37"/>
    <mergeCell ref="E45:G45"/>
    <mergeCell ref="A1:C1"/>
    <mergeCell ref="E9:G9"/>
    <mergeCell ref="A13:C13"/>
    <mergeCell ref="E21:G21"/>
    <mergeCell ref="A25:C25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T54"/>
  <sheetViews>
    <sheetView workbookViewId="0">
      <selection activeCell="E1" sqref="E1:M62"/>
    </sheetView>
  </sheetViews>
  <sheetFormatPr defaultColWidth="12.5703125" defaultRowHeight="15.75" customHeight="1"/>
  <cols>
    <col min="1" max="1" width="36.28515625" customWidth="1"/>
    <col min="2" max="2" width="9" customWidth="1"/>
    <col min="3" max="4" width="7.7109375" customWidth="1"/>
    <col min="5" max="5" width="8.42578125" customWidth="1"/>
    <col min="6" max="7" width="7.42578125" customWidth="1"/>
    <col min="9" max="9" width="17.5703125" customWidth="1"/>
  </cols>
  <sheetData>
    <row r="1" spans="1:20" ht="15.75" customHeight="1">
      <c r="A1" s="89" t="s">
        <v>393</v>
      </c>
      <c r="B1" s="90"/>
      <c r="C1" s="91"/>
      <c r="D1" s="11">
        <v>6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5.75" customHeight="1">
      <c r="A2" s="12" t="str">
        <f>Referencias!B84</f>
        <v>Papel 180gr A4</v>
      </c>
      <c r="B2" s="13">
        <v>80</v>
      </c>
      <c r="C2" s="6">
        <f>Referencias!F84</f>
        <v>0.32</v>
      </c>
      <c r="D2" s="6">
        <f t="shared" ref="D2:D7" si="0">B2*C2</f>
        <v>25.6</v>
      </c>
    </row>
    <row r="3" spans="1:20" ht="15.75" customHeight="1">
      <c r="A3" s="12" t="str">
        <f>Referencias!B85</f>
        <v>Alça - Fio Nautico circulo branco</v>
      </c>
      <c r="B3" s="13">
        <f>0.26*2*40</f>
        <v>20.8</v>
      </c>
      <c r="C3" s="6">
        <f>Referencias!F85</f>
        <v>0.14000000000000001</v>
      </c>
      <c r="D3" s="6">
        <f t="shared" si="0"/>
        <v>2.9120000000000004</v>
      </c>
    </row>
    <row r="4" spans="1:20" ht="15.75" customHeight="1">
      <c r="A4" s="12" t="str">
        <f>Referencias!B83</f>
        <v>Impressão A4</v>
      </c>
      <c r="B4" s="13">
        <v>80</v>
      </c>
      <c r="C4" s="6">
        <f>Referencias!F83</f>
        <v>0.5</v>
      </c>
      <c r="D4" s="6">
        <f t="shared" si="0"/>
        <v>40</v>
      </c>
    </row>
    <row r="5" spans="1:20" ht="15.75" customHeight="1">
      <c r="A5" s="12" t="str">
        <f>Referencias!B62</f>
        <v>Frete</v>
      </c>
      <c r="B5" s="12"/>
      <c r="C5" s="6">
        <f>Referencias!F62</f>
        <v>0</v>
      </c>
      <c r="D5" s="6">
        <f t="shared" si="0"/>
        <v>0</v>
      </c>
      <c r="G5" s="14"/>
    </row>
    <row r="6" spans="1:20" ht="15.75" customHeight="1">
      <c r="A6" s="12" t="str">
        <f>Referencias!B14</f>
        <v>Desgaste Bloquinho/Outros</v>
      </c>
      <c r="B6" s="13">
        <v>40</v>
      </c>
      <c r="C6" s="6">
        <f>Referencias!F14</f>
        <v>0.5</v>
      </c>
      <c r="D6" s="6">
        <f t="shared" si="0"/>
        <v>20</v>
      </c>
    </row>
    <row r="7" spans="1:20" ht="15.75" customHeight="1">
      <c r="A7" s="12" t="str">
        <f>Referencias!B17</f>
        <v>Embalagem Padrão</v>
      </c>
      <c r="B7" s="13">
        <v>1</v>
      </c>
      <c r="C7" s="6">
        <f>Referencias!F17</f>
        <v>1.5</v>
      </c>
      <c r="D7" s="6">
        <f t="shared" si="0"/>
        <v>1.5</v>
      </c>
    </row>
    <row r="8" spans="1:20" ht="15.75" customHeight="1">
      <c r="A8" s="2" t="s">
        <v>312</v>
      </c>
      <c r="B8" s="12"/>
      <c r="C8" s="6"/>
      <c r="D8" s="3">
        <f>SUM(D2:D7)</f>
        <v>90.012</v>
      </c>
    </row>
    <row r="9" spans="1:20" ht="15.75" customHeight="1">
      <c r="A9" s="2" t="s">
        <v>313</v>
      </c>
      <c r="B9" s="15">
        <v>0.55000000000000004</v>
      </c>
      <c r="C9" s="6">
        <f>D8*B9</f>
        <v>49.506600000000006</v>
      </c>
      <c r="D9" s="3">
        <f>D8+C9</f>
        <v>139.51859999999999</v>
      </c>
      <c r="E9" s="92"/>
      <c r="F9" s="93"/>
      <c r="G9" s="93"/>
    </row>
    <row r="10" spans="1:20" ht="15.75" customHeight="1">
      <c r="A10" s="2" t="s">
        <v>314</v>
      </c>
      <c r="B10" s="12"/>
      <c r="C10" s="10"/>
      <c r="D10" s="10"/>
      <c r="E10" s="7"/>
      <c r="F10" s="7"/>
      <c r="G10" s="7"/>
    </row>
    <row r="11" spans="1:20" ht="15.75" customHeight="1">
      <c r="A11" s="2" t="s">
        <v>315</v>
      </c>
      <c r="B11" s="12"/>
      <c r="C11" s="10"/>
      <c r="D11" s="11">
        <v>125</v>
      </c>
      <c r="E11" s="16"/>
      <c r="F11" s="16"/>
      <c r="G11" s="16"/>
    </row>
    <row r="12" spans="1:20" ht="15.75" customHeight="1">
      <c r="I12" s="73"/>
      <c r="J12" s="81"/>
      <c r="K12" s="81"/>
      <c r="L12" s="81"/>
      <c r="M12" s="81"/>
      <c r="N12" s="31"/>
      <c r="O12" s="31"/>
      <c r="P12" s="31"/>
      <c r="Q12" s="31"/>
      <c r="R12" s="31"/>
      <c r="S12" s="31"/>
      <c r="T12" s="31"/>
    </row>
    <row r="13" spans="1:20" ht="15.75" customHeight="1">
      <c r="A13" s="89" t="s">
        <v>394</v>
      </c>
      <c r="B13" s="90"/>
      <c r="C13" s="91"/>
      <c r="D13" s="3">
        <v>7</v>
      </c>
      <c r="I13" s="7"/>
      <c r="J13" s="8"/>
      <c r="K13" s="82"/>
      <c r="L13" s="9"/>
      <c r="M13" s="9"/>
      <c r="N13" s="31"/>
      <c r="O13" s="9"/>
      <c r="P13" s="31"/>
      <c r="Q13" s="70"/>
      <c r="R13" s="70"/>
      <c r="S13" s="70"/>
      <c r="T13" s="70"/>
    </row>
    <row r="14" spans="1:20" ht="15.75" customHeight="1">
      <c r="A14" s="12" t="str">
        <f>Referencias!B84</f>
        <v>Papel 180gr A4</v>
      </c>
      <c r="B14" s="13">
        <v>120</v>
      </c>
      <c r="C14" s="6">
        <f>Referencias!F84</f>
        <v>0.32</v>
      </c>
      <c r="D14" s="6">
        <f t="shared" ref="D14:D19" si="1">B14*C14</f>
        <v>38.4</v>
      </c>
      <c r="I14" s="31"/>
      <c r="J14" s="70"/>
      <c r="K14" s="82"/>
      <c r="L14" s="31"/>
      <c r="M14" s="9"/>
      <c r="N14" s="31"/>
      <c r="O14" s="31"/>
      <c r="P14" s="31"/>
      <c r="Q14" s="83"/>
      <c r="R14" s="70"/>
      <c r="S14" s="70"/>
      <c r="T14" s="70"/>
    </row>
    <row r="15" spans="1:20" ht="15.75" customHeight="1">
      <c r="A15" s="12" t="str">
        <f>Referencias!B85</f>
        <v>Alça - Fio Nautico circulo branco</v>
      </c>
      <c r="B15" s="13">
        <f>0.32*2*40</f>
        <v>25.6</v>
      </c>
      <c r="C15" s="6">
        <f>Referencias!F85</f>
        <v>0.14000000000000001</v>
      </c>
      <c r="D15" s="6">
        <f t="shared" si="1"/>
        <v>3.5840000000000005</v>
      </c>
      <c r="I15" s="31"/>
      <c r="J15" s="31"/>
      <c r="K15" s="31"/>
      <c r="L15" s="31"/>
      <c r="M15" s="9"/>
      <c r="N15" s="9"/>
      <c r="O15" s="82"/>
      <c r="P15" s="82"/>
      <c r="Q15" s="31"/>
      <c r="R15" s="70"/>
      <c r="S15" s="70"/>
      <c r="T15" s="70"/>
    </row>
    <row r="16" spans="1:20" ht="15.75" customHeight="1">
      <c r="A16" s="12" t="str">
        <f>Referencias!B83</f>
        <v>Impressão A4</v>
      </c>
      <c r="B16" s="13">
        <v>120</v>
      </c>
      <c r="C16" s="6">
        <f>Referencias!F83</f>
        <v>0.5</v>
      </c>
      <c r="D16" s="6">
        <f t="shared" si="1"/>
        <v>60</v>
      </c>
    </row>
    <row r="17" spans="1:7" ht="15.75" customHeight="1">
      <c r="A17" s="12" t="str">
        <f>Referencias!B62</f>
        <v>Frete</v>
      </c>
      <c r="B17" s="12"/>
      <c r="C17" s="6">
        <f>Referencias!F62</f>
        <v>0</v>
      </c>
      <c r="D17" s="6">
        <f t="shared" si="1"/>
        <v>0</v>
      </c>
    </row>
    <row r="18" spans="1:7" ht="15.75" customHeight="1">
      <c r="A18" s="12" t="str">
        <f>Referencias!B14</f>
        <v>Desgaste Bloquinho/Outros</v>
      </c>
      <c r="B18" s="13">
        <v>40</v>
      </c>
      <c r="C18" s="6">
        <f>Referencias!F14</f>
        <v>0.5</v>
      </c>
      <c r="D18" s="6">
        <f t="shared" si="1"/>
        <v>20</v>
      </c>
    </row>
    <row r="19" spans="1:7" ht="15.75" customHeight="1">
      <c r="A19" s="12" t="str">
        <f>Referencias!B17</f>
        <v>Embalagem Padrão</v>
      </c>
      <c r="B19" s="13">
        <v>1</v>
      </c>
      <c r="C19" s="6">
        <f>Referencias!F17</f>
        <v>1.5</v>
      </c>
      <c r="D19" s="6">
        <f t="shared" si="1"/>
        <v>1.5</v>
      </c>
    </row>
    <row r="20" spans="1:7" ht="15.75" customHeight="1">
      <c r="A20" s="2" t="s">
        <v>312</v>
      </c>
      <c r="B20" s="12"/>
      <c r="C20" s="6"/>
      <c r="D20" s="3">
        <f>SUM(D14:D19)</f>
        <v>123.48400000000001</v>
      </c>
    </row>
    <row r="21" spans="1:7" ht="15.75" customHeight="1">
      <c r="A21" s="2" t="s">
        <v>313</v>
      </c>
      <c r="B21" s="15">
        <v>0.55000000000000004</v>
      </c>
      <c r="C21" s="6">
        <f>D20*B21</f>
        <v>67.916200000000003</v>
      </c>
      <c r="D21" s="3">
        <f>D20+C21</f>
        <v>191.40020000000001</v>
      </c>
      <c r="E21" s="92"/>
      <c r="F21" s="93"/>
      <c r="G21" s="93"/>
    </row>
    <row r="22" spans="1:7" ht="15.75" customHeight="1">
      <c r="A22" s="2" t="s">
        <v>314</v>
      </c>
      <c r="B22" s="29"/>
      <c r="C22" s="36"/>
      <c r="D22" s="10"/>
      <c r="E22" s="7"/>
      <c r="F22" s="7"/>
      <c r="G22" s="7"/>
    </row>
    <row r="23" spans="1:7" ht="15.75" customHeight="1">
      <c r="A23" s="2" t="s">
        <v>315</v>
      </c>
      <c r="B23" s="37"/>
      <c r="C23" s="36"/>
      <c r="D23" s="3">
        <v>170</v>
      </c>
      <c r="E23" s="16"/>
      <c r="F23" s="16"/>
      <c r="G23" s="16"/>
    </row>
    <row r="25" spans="1:7" ht="15.75" customHeight="1">
      <c r="A25" s="96" t="s">
        <v>395</v>
      </c>
      <c r="B25" s="90"/>
      <c r="C25" s="91"/>
      <c r="D25" s="3">
        <v>5.5</v>
      </c>
    </row>
    <row r="26" spans="1:7" ht="15.75" customHeight="1">
      <c r="A26" s="12" t="str">
        <f>Referencias!B84</f>
        <v>Papel 180gr A4</v>
      </c>
      <c r="B26" s="13">
        <v>1</v>
      </c>
      <c r="C26" s="6">
        <f>Referencias!F84</f>
        <v>0.32</v>
      </c>
      <c r="D26" s="6">
        <f t="shared" ref="D26:D31" si="2">B26*C26</f>
        <v>0.32</v>
      </c>
    </row>
    <row r="27" spans="1:7" ht="15.75" customHeight="1">
      <c r="A27" s="12" t="str">
        <f>Referencias!B85</f>
        <v>Alça - Fio Nautico circulo branco</v>
      </c>
      <c r="B27" s="13">
        <v>0.51</v>
      </c>
      <c r="C27" s="6">
        <f>Referencias!F85</f>
        <v>0.14000000000000001</v>
      </c>
      <c r="D27" s="6">
        <f t="shared" si="2"/>
        <v>7.1400000000000005E-2</v>
      </c>
    </row>
    <row r="28" spans="1:7" ht="15.75" customHeight="1">
      <c r="A28" s="12" t="str">
        <f>Referencias!B83</f>
        <v>Impressão A4</v>
      </c>
      <c r="B28" s="13">
        <v>1</v>
      </c>
      <c r="C28" s="6">
        <f>Referencias!F83</f>
        <v>0.5</v>
      </c>
      <c r="D28" s="6">
        <f t="shared" si="2"/>
        <v>0.5</v>
      </c>
    </row>
    <row r="29" spans="1:7" ht="15.75" customHeight="1">
      <c r="A29" s="12" t="str">
        <f>Referencias!B62</f>
        <v>Frete</v>
      </c>
      <c r="B29" s="12"/>
      <c r="C29" s="6">
        <f>Referencias!F62</f>
        <v>0</v>
      </c>
      <c r="D29" s="6">
        <f t="shared" si="2"/>
        <v>0</v>
      </c>
    </row>
    <row r="30" spans="1:7" ht="15.75" customHeight="1">
      <c r="A30" s="12" t="str">
        <f>Referencias!B13</f>
        <v>Desgaste Agenda</v>
      </c>
      <c r="B30" s="13">
        <v>1</v>
      </c>
      <c r="C30" s="6">
        <f>Referencias!F13</f>
        <v>1</v>
      </c>
      <c r="D30" s="6">
        <f t="shared" si="2"/>
        <v>1</v>
      </c>
    </row>
    <row r="31" spans="1:7" ht="15.75" customHeight="1">
      <c r="A31" s="12" t="str">
        <f>Referencias!B17</f>
        <v>Embalagem Padrão</v>
      </c>
      <c r="B31" s="13">
        <v>1</v>
      </c>
      <c r="C31" s="6">
        <f>Referencias!F17</f>
        <v>1.5</v>
      </c>
      <c r="D31" s="6">
        <f t="shared" si="2"/>
        <v>1.5</v>
      </c>
    </row>
    <row r="32" spans="1:7" ht="15.75" customHeight="1">
      <c r="A32" s="2" t="s">
        <v>312</v>
      </c>
      <c r="B32" s="12"/>
      <c r="C32" s="6"/>
      <c r="D32" s="3">
        <f>SUM(D26:D31)</f>
        <v>3.3914</v>
      </c>
    </row>
    <row r="33" spans="1:7" ht="15.75" customHeight="1">
      <c r="A33" s="2" t="s">
        <v>313</v>
      </c>
      <c r="B33" s="15">
        <v>0.55000000000000004</v>
      </c>
      <c r="C33" s="6">
        <f>D32*B33</f>
        <v>1.8652700000000002</v>
      </c>
      <c r="D33" s="3">
        <f>D32+C33</f>
        <v>5.2566699999999997</v>
      </c>
      <c r="E33" s="92"/>
      <c r="F33" s="93"/>
      <c r="G33" s="93"/>
    </row>
    <row r="34" spans="1:7" ht="15.75" customHeight="1">
      <c r="A34" s="2" t="s">
        <v>314</v>
      </c>
      <c r="B34" s="29"/>
      <c r="C34" s="10"/>
      <c r="D34" s="10"/>
      <c r="E34" s="7"/>
      <c r="F34" s="7"/>
      <c r="G34" s="7"/>
    </row>
    <row r="35" spans="1:7" ht="15.75" customHeight="1">
      <c r="A35" s="2" t="s">
        <v>315</v>
      </c>
      <c r="B35" s="37"/>
      <c r="C35" s="10"/>
      <c r="D35" s="3">
        <v>5.5</v>
      </c>
      <c r="E35" s="16"/>
      <c r="F35" s="16"/>
      <c r="G35" s="16"/>
    </row>
    <row r="37" spans="1:7" ht="15">
      <c r="A37" s="89" t="s">
        <v>396</v>
      </c>
      <c r="B37" s="90"/>
      <c r="C37" s="91"/>
      <c r="D37" s="23">
        <v>8</v>
      </c>
      <c r="E37" s="18"/>
      <c r="F37" s="18"/>
    </row>
    <row r="38" spans="1:7" ht="15">
      <c r="A38" s="19" t="str">
        <f>Referencias!B86</f>
        <v>Papel 180gr A4 Reciclado</v>
      </c>
      <c r="B38" s="26">
        <v>3</v>
      </c>
      <c r="C38" s="6">
        <f>Referencias!F86</f>
        <v>0.25</v>
      </c>
      <c r="D38" s="21">
        <f t="shared" ref="D38:D43" si="3">B38*C38</f>
        <v>0.75</v>
      </c>
      <c r="E38" s="18"/>
      <c r="F38" s="18"/>
      <c r="G38" s="18"/>
    </row>
    <row r="39" spans="1:7" ht="15">
      <c r="A39" s="19" t="str">
        <f>Referencias!B87</f>
        <v>Alça - Cordão de Algodão</v>
      </c>
      <c r="B39" s="26">
        <v>0.51</v>
      </c>
      <c r="C39" s="6">
        <f>Referencias!F87</f>
        <v>0.52</v>
      </c>
      <c r="D39" s="21">
        <f t="shared" si="3"/>
        <v>0.26519999999999999</v>
      </c>
      <c r="E39" s="18"/>
      <c r="F39" s="18"/>
      <c r="G39" s="18"/>
    </row>
    <row r="40" spans="1:7" ht="15">
      <c r="A40" s="19" t="str">
        <f>Referencias!B83</f>
        <v>Impressão A4</v>
      </c>
      <c r="B40" s="13">
        <v>3</v>
      </c>
      <c r="C40" s="6">
        <f>Referencias!F83</f>
        <v>0.5</v>
      </c>
      <c r="D40" s="21">
        <f t="shared" si="3"/>
        <v>1.5</v>
      </c>
      <c r="E40" s="18"/>
      <c r="F40" s="18"/>
      <c r="G40" s="18"/>
    </row>
    <row r="41" spans="1:7" ht="15">
      <c r="A41" s="19" t="str">
        <f>Referencias!B62</f>
        <v>Frete</v>
      </c>
      <c r="B41" s="27"/>
      <c r="C41" s="28">
        <f>Referencias!F62</f>
        <v>0</v>
      </c>
      <c r="D41" s="21">
        <f t="shared" si="3"/>
        <v>0</v>
      </c>
      <c r="E41" s="18"/>
      <c r="F41" s="18"/>
      <c r="G41" s="18"/>
    </row>
    <row r="42" spans="1:7" ht="15">
      <c r="A42" s="19" t="str">
        <f>Referencias!B13</f>
        <v>Desgaste Agenda</v>
      </c>
      <c r="B42" s="26">
        <v>1</v>
      </c>
      <c r="C42" s="6">
        <f>Referencias!F13</f>
        <v>1</v>
      </c>
      <c r="D42" s="21">
        <f t="shared" si="3"/>
        <v>1</v>
      </c>
      <c r="E42" s="18"/>
      <c r="F42" s="18"/>
      <c r="G42" s="18"/>
    </row>
    <row r="43" spans="1:7" ht="15">
      <c r="A43" s="19" t="str">
        <f>Referencias!B17</f>
        <v>Embalagem Padrão</v>
      </c>
      <c r="B43" s="26">
        <v>1</v>
      </c>
      <c r="C43" s="6">
        <f>Referencias!F17</f>
        <v>1.5</v>
      </c>
      <c r="D43" s="21">
        <f t="shared" si="3"/>
        <v>1.5</v>
      </c>
      <c r="E43" s="18"/>
      <c r="F43" s="18"/>
      <c r="G43" s="18"/>
    </row>
    <row r="44" spans="1:7" ht="15">
      <c r="A44" s="22" t="s">
        <v>312</v>
      </c>
      <c r="B44" s="27"/>
      <c r="C44" s="28"/>
      <c r="D44" s="23">
        <f>SUM(D38:D43)</f>
        <v>5.0152000000000001</v>
      </c>
      <c r="E44" s="18"/>
      <c r="F44" s="18"/>
      <c r="G44" s="18"/>
    </row>
    <row r="45" spans="1:7" ht="15">
      <c r="A45" s="22" t="s">
        <v>313</v>
      </c>
      <c r="B45" s="24">
        <v>0.55000000000000004</v>
      </c>
      <c r="C45" s="21">
        <f>D44*B45</f>
        <v>2.7583600000000001</v>
      </c>
      <c r="D45" s="23">
        <f>D44+C45</f>
        <v>7.7735599999999998</v>
      </c>
      <c r="E45" s="92"/>
      <c r="F45" s="93"/>
      <c r="G45" s="93"/>
    </row>
    <row r="46" spans="1:7" ht="15">
      <c r="A46" s="22" t="s">
        <v>314</v>
      </c>
      <c r="B46" s="19"/>
      <c r="C46" s="27"/>
      <c r="D46" s="27"/>
      <c r="E46" s="7"/>
      <c r="F46" s="7"/>
      <c r="G46" s="7"/>
    </row>
    <row r="47" spans="1:7" ht="15">
      <c r="A47" s="22" t="s">
        <v>315</v>
      </c>
      <c r="B47" s="38"/>
      <c r="C47" s="27"/>
      <c r="D47" s="23">
        <v>8</v>
      </c>
      <c r="E47" s="16"/>
      <c r="F47" s="16"/>
      <c r="G47" s="16"/>
    </row>
    <row r="54" spans="2:2" ht="12.75">
      <c r="B54" s="14"/>
    </row>
  </sheetData>
  <mergeCells count="8">
    <mergeCell ref="E33:G33"/>
    <mergeCell ref="A37:C37"/>
    <mergeCell ref="E45:G45"/>
    <mergeCell ref="A1:C1"/>
    <mergeCell ref="E9:G9"/>
    <mergeCell ref="A13:C13"/>
    <mergeCell ref="E21:G21"/>
    <mergeCell ref="A25:C25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9900"/>
    <outlinePr summaryBelow="0" summaryRight="0"/>
  </sheetPr>
  <dimension ref="A1:K40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  <col min="14" max="14" width="7.28515625" customWidth="1"/>
    <col min="15" max="16" width="2.85546875" customWidth="1"/>
    <col min="17" max="17" width="4.7109375" customWidth="1"/>
    <col min="18" max="18" width="4.28515625" customWidth="1"/>
  </cols>
  <sheetData>
    <row r="1" spans="1:11">
      <c r="A1" s="89" t="s">
        <v>397</v>
      </c>
      <c r="B1" s="90"/>
      <c r="C1" s="91"/>
      <c r="D1" s="3">
        <v>15</v>
      </c>
      <c r="K1" s="84"/>
    </row>
    <row r="2" spans="1:11">
      <c r="A2" s="12" t="str">
        <f>Referencias!B200</f>
        <v>Lã Balloon 100g</v>
      </c>
      <c r="B2" s="13">
        <v>20</v>
      </c>
      <c r="C2" s="6">
        <f>Referencias!F200</f>
        <v>0.17</v>
      </c>
      <c r="D2" s="6">
        <f t="shared" ref="D2:D6" si="0">B2*C2</f>
        <v>3.4000000000000004</v>
      </c>
      <c r="K2" s="84"/>
    </row>
    <row r="3" spans="1:11">
      <c r="A3" s="12" t="str">
        <f>Referencias!B201</f>
        <v>Bico de Pato Jacaré com Garra</v>
      </c>
      <c r="B3" s="13">
        <v>1</v>
      </c>
      <c r="C3" s="6">
        <f>Referencias!F201</f>
        <v>0.78</v>
      </c>
      <c r="D3" s="6">
        <f t="shared" si="0"/>
        <v>0.78</v>
      </c>
      <c r="K3" s="84"/>
    </row>
    <row r="4" spans="1:11">
      <c r="A4" s="12" t="str">
        <f>Referencias!B62</f>
        <v>Frete</v>
      </c>
      <c r="B4" s="12"/>
      <c r="C4" s="6">
        <f>Referencias!F62</f>
        <v>0</v>
      </c>
      <c r="D4" s="6">
        <f t="shared" si="0"/>
        <v>0</v>
      </c>
      <c r="K4" s="84"/>
    </row>
    <row r="5" spans="1:11">
      <c r="A5" s="12" t="str">
        <f>Referencias!B14</f>
        <v>Desgaste Bloquinho/Outros</v>
      </c>
      <c r="B5" s="13">
        <v>1</v>
      </c>
      <c r="C5" s="6">
        <f>Referencias!F14</f>
        <v>0.5</v>
      </c>
      <c r="D5" s="6">
        <f t="shared" si="0"/>
        <v>0.5</v>
      </c>
      <c r="K5" s="84"/>
    </row>
    <row r="6" spans="1:11">
      <c r="A6" s="12" t="str">
        <f>Referencias!B17</f>
        <v>Embalagem Padrão</v>
      </c>
      <c r="B6" s="13">
        <v>1</v>
      </c>
      <c r="C6" s="6">
        <f>Referencias!F17</f>
        <v>1.5</v>
      </c>
      <c r="D6" s="6">
        <f t="shared" si="0"/>
        <v>1.5</v>
      </c>
      <c r="K6" s="84"/>
    </row>
    <row r="7" spans="1:11">
      <c r="A7" s="2" t="s">
        <v>312</v>
      </c>
      <c r="B7" s="12"/>
      <c r="C7" s="10"/>
      <c r="D7" s="3">
        <f>SUM(D2:D6)</f>
        <v>6.1800000000000006</v>
      </c>
      <c r="K7" s="84"/>
    </row>
    <row r="8" spans="1:11">
      <c r="A8" s="2" t="s">
        <v>313</v>
      </c>
      <c r="B8" s="15">
        <v>0.55000000000000004</v>
      </c>
      <c r="C8" s="6">
        <f>D7*B8</f>
        <v>3.3990000000000005</v>
      </c>
      <c r="D8" s="3">
        <f>D7+C8</f>
        <v>9.5790000000000006</v>
      </c>
      <c r="E8" s="92"/>
      <c r="F8" s="93"/>
      <c r="G8" s="93"/>
      <c r="K8" s="84"/>
    </row>
    <row r="9" spans="1:11">
      <c r="A9" s="2" t="s">
        <v>314</v>
      </c>
      <c r="B9" s="40" t="s">
        <v>330</v>
      </c>
      <c r="C9" s="36" t="s">
        <v>331</v>
      </c>
      <c r="D9" s="10"/>
      <c r="E9" s="7"/>
      <c r="F9" s="7"/>
      <c r="G9" s="7"/>
      <c r="K9" s="84"/>
    </row>
    <row r="10" spans="1:11">
      <c r="A10" s="2" t="s">
        <v>315</v>
      </c>
      <c r="B10" s="37">
        <v>10</v>
      </c>
      <c r="C10" s="41">
        <v>15</v>
      </c>
      <c r="D10" s="3">
        <v>15</v>
      </c>
      <c r="E10" s="16"/>
      <c r="F10" s="16"/>
      <c r="G10" s="16"/>
      <c r="K10" s="84"/>
    </row>
    <row r="11" spans="1:11">
      <c r="K11" s="84"/>
    </row>
    <row r="12" spans="1:11">
      <c r="A12" s="89" t="s">
        <v>358</v>
      </c>
      <c r="B12" s="90"/>
      <c r="C12" s="91"/>
      <c r="D12" s="3">
        <v>15</v>
      </c>
      <c r="K12" s="84"/>
    </row>
    <row r="13" spans="1:11">
      <c r="A13" s="12" t="str">
        <f>Referencias!B202</f>
        <v>Fio de Malha Euroroma 140m</v>
      </c>
      <c r="B13" s="13">
        <v>140</v>
      </c>
      <c r="C13" s="6">
        <f>Referencias!F202</f>
        <v>0.02</v>
      </c>
      <c r="D13" s="21">
        <f t="shared" ref="D13:D16" si="1">B13*C13</f>
        <v>2.8000000000000003</v>
      </c>
      <c r="K13" s="84"/>
    </row>
    <row r="14" spans="1:11" ht="15">
      <c r="A14" s="12" t="str">
        <f>Referencias!B62</f>
        <v>Frete</v>
      </c>
      <c r="B14" s="12"/>
      <c r="C14" s="6">
        <f>Referencias!F62</f>
        <v>0</v>
      </c>
      <c r="D14" s="21">
        <f t="shared" si="1"/>
        <v>0</v>
      </c>
    </row>
    <row r="15" spans="1:11" ht="15">
      <c r="A15" s="12" t="str">
        <f>Referencias!B14</f>
        <v>Desgaste Bloquinho/Outros</v>
      </c>
      <c r="B15" s="13">
        <v>1</v>
      </c>
      <c r="C15" s="6">
        <f>Referencias!F14</f>
        <v>0.5</v>
      </c>
      <c r="D15" s="21">
        <f t="shared" si="1"/>
        <v>0.5</v>
      </c>
    </row>
    <row r="16" spans="1:11" ht="15">
      <c r="A16" s="12" t="str">
        <f>Referencias!B17</f>
        <v>Embalagem Padrão</v>
      </c>
      <c r="B16" s="13">
        <v>1</v>
      </c>
      <c r="C16" s="6">
        <f>Referencias!F17</f>
        <v>1.5</v>
      </c>
      <c r="D16" s="21">
        <f t="shared" si="1"/>
        <v>1.5</v>
      </c>
    </row>
    <row r="17" spans="1:7" ht="15">
      <c r="A17" s="2" t="s">
        <v>312</v>
      </c>
      <c r="B17" s="12"/>
      <c r="C17" s="10"/>
      <c r="D17" s="3">
        <f>SUM(D13:D16)</f>
        <v>4.8000000000000007</v>
      </c>
    </row>
    <row r="18" spans="1:7" ht="15">
      <c r="A18" s="2" t="s">
        <v>313</v>
      </c>
      <c r="B18" s="15">
        <v>0.55000000000000004</v>
      </c>
      <c r="C18" s="6">
        <f>D17*B18</f>
        <v>2.6400000000000006</v>
      </c>
      <c r="D18" s="3">
        <f>D17+C18</f>
        <v>7.4400000000000013</v>
      </c>
      <c r="E18" s="92"/>
      <c r="F18" s="93"/>
      <c r="G18" s="93"/>
    </row>
    <row r="19" spans="1:7" ht="15">
      <c r="A19" s="2" t="s">
        <v>314</v>
      </c>
      <c r="B19" s="40"/>
      <c r="C19" s="36"/>
      <c r="D19" s="10"/>
      <c r="E19" s="7"/>
      <c r="F19" s="7"/>
      <c r="G19" s="7"/>
    </row>
    <row r="20" spans="1:7" ht="15">
      <c r="A20" s="2" t="s">
        <v>315</v>
      </c>
      <c r="B20" s="37"/>
      <c r="C20" s="41"/>
      <c r="D20" s="3">
        <v>15</v>
      </c>
      <c r="E20" s="16"/>
      <c r="F20" s="16"/>
      <c r="G20" s="16"/>
    </row>
    <row r="22" spans="1:7" ht="15">
      <c r="A22" s="89" t="s">
        <v>359</v>
      </c>
      <c r="B22" s="90"/>
      <c r="C22" s="91"/>
      <c r="D22" s="3">
        <v>15</v>
      </c>
    </row>
    <row r="23" spans="1:7" ht="15">
      <c r="A23" s="12" t="str">
        <f>Referencias!B202</f>
        <v>Fio de Malha Euroroma 140m</v>
      </c>
      <c r="B23" s="13">
        <v>140</v>
      </c>
      <c r="C23" s="6">
        <f>Referencias!F202</f>
        <v>0.02</v>
      </c>
      <c r="D23" s="6">
        <f t="shared" ref="D23:D26" si="2">B23*C23</f>
        <v>2.8000000000000003</v>
      </c>
    </row>
    <row r="24" spans="1:7" ht="15">
      <c r="A24" s="12" t="str">
        <f>Referencias!B62</f>
        <v>Frete</v>
      </c>
      <c r="B24" s="12"/>
      <c r="C24" s="6">
        <f>Referencias!F62</f>
        <v>0</v>
      </c>
      <c r="D24" s="6">
        <f t="shared" si="2"/>
        <v>0</v>
      </c>
    </row>
    <row r="25" spans="1:7" ht="15">
      <c r="A25" s="12" t="str">
        <f>Referencias!B14</f>
        <v>Desgaste Bloquinho/Outros</v>
      </c>
      <c r="B25" s="13">
        <v>1</v>
      </c>
      <c r="C25" s="6">
        <f>Referencias!F14</f>
        <v>0.5</v>
      </c>
      <c r="D25" s="6">
        <f t="shared" si="2"/>
        <v>0.5</v>
      </c>
    </row>
    <row r="26" spans="1:7" ht="15">
      <c r="A26" s="12" t="str">
        <f>Referencias!B17</f>
        <v>Embalagem Padrão</v>
      </c>
      <c r="B26" s="13">
        <v>1</v>
      </c>
      <c r="C26" s="6">
        <f>Referencias!F17</f>
        <v>1.5</v>
      </c>
      <c r="D26" s="6">
        <f t="shared" si="2"/>
        <v>1.5</v>
      </c>
    </row>
    <row r="27" spans="1:7" ht="15">
      <c r="A27" s="2" t="s">
        <v>312</v>
      </c>
      <c r="B27" s="12"/>
      <c r="C27" s="6"/>
      <c r="D27" s="3">
        <f>SUM(D23:D26)</f>
        <v>4.8000000000000007</v>
      </c>
    </row>
    <row r="28" spans="1:7" ht="15">
      <c r="A28" s="2" t="s">
        <v>313</v>
      </c>
      <c r="B28" s="15">
        <v>0.55000000000000004</v>
      </c>
      <c r="C28" s="6">
        <f>D27*B28</f>
        <v>2.6400000000000006</v>
      </c>
      <c r="D28" s="3">
        <f>D27+C28</f>
        <v>7.4400000000000013</v>
      </c>
      <c r="E28" s="92"/>
      <c r="F28" s="93"/>
      <c r="G28" s="93"/>
    </row>
    <row r="29" spans="1:7" ht="15">
      <c r="A29" s="2" t="s">
        <v>314</v>
      </c>
      <c r="B29" s="40"/>
      <c r="C29" s="36"/>
      <c r="D29" s="10"/>
      <c r="E29" s="7"/>
      <c r="F29" s="7"/>
      <c r="G29" s="7"/>
    </row>
    <row r="30" spans="1:7" ht="15">
      <c r="A30" s="2" t="s">
        <v>315</v>
      </c>
      <c r="B30" s="37"/>
      <c r="C30" s="36"/>
      <c r="D30" s="3">
        <v>15</v>
      </c>
      <c r="E30" s="16"/>
      <c r="F30" s="16"/>
      <c r="G30" s="16"/>
    </row>
    <row r="32" spans="1:7" ht="15">
      <c r="A32" s="89" t="s">
        <v>360</v>
      </c>
      <c r="B32" s="90"/>
      <c r="C32" s="91"/>
      <c r="D32" s="3">
        <v>20</v>
      </c>
    </row>
    <row r="33" spans="1:7" ht="15">
      <c r="A33" s="12" t="str">
        <f>Referencias!B202</f>
        <v>Fio de Malha Euroroma 140m</v>
      </c>
      <c r="B33" s="13">
        <v>250</v>
      </c>
      <c r="C33" s="6">
        <f>Referencias!F202</f>
        <v>0.02</v>
      </c>
      <c r="D33" s="6">
        <f t="shared" ref="D33:D36" si="3">B33*C33</f>
        <v>5</v>
      </c>
    </row>
    <row r="34" spans="1:7" ht="15">
      <c r="A34" s="12" t="str">
        <f>Referencias!B62</f>
        <v>Frete</v>
      </c>
      <c r="B34" s="12">
        <v>0</v>
      </c>
      <c r="C34" s="6">
        <f>Referencias!F62</f>
        <v>0</v>
      </c>
      <c r="D34" s="6">
        <f t="shared" si="3"/>
        <v>0</v>
      </c>
    </row>
    <row r="35" spans="1:7" ht="15">
      <c r="A35" s="12" t="str">
        <f>Referencias!B14</f>
        <v>Desgaste Bloquinho/Outros</v>
      </c>
      <c r="B35" s="13">
        <v>1</v>
      </c>
      <c r="C35" s="6">
        <f>Referencias!F14</f>
        <v>0.5</v>
      </c>
      <c r="D35" s="6">
        <f t="shared" si="3"/>
        <v>0.5</v>
      </c>
    </row>
    <row r="36" spans="1:7" ht="15">
      <c r="A36" s="12" t="str">
        <f>Referencias!B17</f>
        <v>Embalagem Padrão</v>
      </c>
      <c r="B36" s="13">
        <v>1</v>
      </c>
      <c r="C36" s="6">
        <f>Referencias!F17</f>
        <v>1.5</v>
      </c>
      <c r="D36" s="6">
        <f t="shared" si="3"/>
        <v>1.5</v>
      </c>
    </row>
    <row r="37" spans="1:7" ht="15">
      <c r="A37" s="2" t="s">
        <v>312</v>
      </c>
      <c r="B37" s="12"/>
      <c r="C37" s="10"/>
      <c r="D37" s="3">
        <f>SUM(D33:D36)</f>
        <v>7</v>
      </c>
    </row>
    <row r="38" spans="1:7" ht="15" customHeight="1">
      <c r="A38" s="2" t="s">
        <v>313</v>
      </c>
      <c r="B38" s="15">
        <v>0.55000000000000004</v>
      </c>
      <c r="C38" s="6">
        <f>D37*B38</f>
        <v>3.8500000000000005</v>
      </c>
      <c r="D38" s="3">
        <f>D37+C38</f>
        <v>10.850000000000001</v>
      </c>
      <c r="E38" s="92"/>
      <c r="F38" s="93"/>
      <c r="G38" s="93"/>
    </row>
    <row r="39" spans="1:7" ht="15">
      <c r="A39" s="2" t="s">
        <v>314</v>
      </c>
      <c r="B39" s="40"/>
      <c r="C39" s="36"/>
      <c r="D39" s="10"/>
      <c r="E39" s="7"/>
      <c r="F39" s="7"/>
      <c r="G39" s="7"/>
    </row>
    <row r="40" spans="1:7" ht="15">
      <c r="A40" s="2" t="s">
        <v>315</v>
      </c>
      <c r="B40" s="37"/>
      <c r="C40" s="41"/>
      <c r="D40" s="3">
        <v>20</v>
      </c>
      <c r="E40" s="16"/>
      <c r="F40" s="16"/>
      <c r="G40" s="16"/>
    </row>
  </sheetData>
  <mergeCells count="8">
    <mergeCell ref="E28:G28"/>
    <mergeCell ref="A32:C32"/>
    <mergeCell ref="E38:G38"/>
    <mergeCell ref="A1:C1"/>
    <mergeCell ref="E8:G8"/>
    <mergeCell ref="A12:C12"/>
    <mergeCell ref="E18:G18"/>
    <mergeCell ref="A22:C22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9900"/>
    <outlinePr summaryBelow="0" summaryRight="0"/>
  </sheetPr>
  <dimension ref="A1:R171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  <col min="14" max="14" width="7.28515625" customWidth="1"/>
    <col min="15" max="16" width="2.85546875" customWidth="1"/>
    <col min="17" max="17" width="4.7109375" customWidth="1"/>
    <col min="18" max="18" width="4.28515625" customWidth="1"/>
  </cols>
  <sheetData>
    <row r="1" spans="1:11">
      <c r="A1" s="89" t="s">
        <v>398</v>
      </c>
      <c r="B1" s="90"/>
      <c r="C1" s="91"/>
      <c r="D1" s="3">
        <v>45</v>
      </c>
      <c r="K1" s="84"/>
    </row>
    <row r="2" spans="1:11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2" si="0">B2*C2</f>
        <v>3</v>
      </c>
      <c r="K2" s="84"/>
    </row>
    <row r="3" spans="1:11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  <c r="K3" s="84"/>
    </row>
    <row r="4" spans="1:11">
      <c r="A4" s="12" t="str">
        <f>Referencias!B31</f>
        <v>bopp</v>
      </c>
      <c r="B4" s="13">
        <f>2*0.3</f>
        <v>0.6</v>
      </c>
      <c r="C4" s="6">
        <f>Referencias!F31</f>
        <v>0.45</v>
      </c>
      <c r="D4" s="6">
        <f t="shared" si="0"/>
        <v>0.27</v>
      </c>
      <c r="K4" s="84"/>
    </row>
    <row r="5" spans="1:11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  <c r="K5" s="84"/>
    </row>
    <row r="6" spans="1:11">
      <c r="A6" s="12" t="str">
        <f>Referencias!B45</f>
        <v>miolo 90gr A5</v>
      </c>
      <c r="B6" s="13">
        <v>102</v>
      </c>
      <c r="C6" s="6">
        <f>Referencias!F45</f>
        <v>0.05</v>
      </c>
      <c r="D6" s="6">
        <f t="shared" si="0"/>
        <v>5.1000000000000005</v>
      </c>
      <c r="K6" s="84"/>
    </row>
    <row r="7" spans="1:11">
      <c r="A7" s="12" t="str">
        <f>Referencias!B19</f>
        <v>Espiral 29mm</v>
      </c>
      <c r="B7" s="13">
        <v>1</v>
      </c>
      <c r="C7" s="6">
        <f>Referencias!F19</f>
        <v>1.83</v>
      </c>
      <c r="D7" s="6">
        <f t="shared" si="0"/>
        <v>1.83</v>
      </c>
      <c r="K7" s="84"/>
    </row>
    <row r="8" spans="1:11">
      <c r="A8" s="12" t="str">
        <f>Referencias!B22</f>
        <v>Impressao Capa A4</v>
      </c>
      <c r="B8" s="13">
        <v>2</v>
      </c>
      <c r="C8" s="6">
        <f>Referencias!F22</f>
        <v>0.5</v>
      </c>
      <c r="D8" s="6">
        <f t="shared" si="0"/>
        <v>1</v>
      </c>
      <c r="K8" s="84"/>
    </row>
    <row r="9" spans="1:11">
      <c r="A9" s="12" t="str">
        <f>Referencias!B29</f>
        <v>Impressao Miolo Frente Verso A5</v>
      </c>
      <c r="B9" s="13">
        <v>102</v>
      </c>
      <c r="C9" s="6">
        <f>Referencias!F29</f>
        <v>0.06</v>
      </c>
      <c r="D9" s="6">
        <f t="shared" si="0"/>
        <v>6.12</v>
      </c>
      <c r="K9" s="84"/>
    </row>
    <row r="10" spans="1:11">
      <c r="A10" s="12" t="str">
        <f>Referencias!B62</f>
        <v>Frete</v>
      </c>
      <c r="B10" s="12"/>
      <c r="C10" s="6">
        <f>Referencias!F62</f>
        <v>0</v>
      </c>
      <c r="D10" s="6">
        <f t="shared" si="0"/>
        <v>0</v>
      </c>
      <c r="K10" s="84"/>
    </row>
    <row r="11" spans="1:11">
      <c r="A11" s="12" t="str">
        <f>Referencias!B15</f>
        <v>Desgaste Caderno A5</v>
      </c>
      <c r="B11" s="13">
        <v>1</v>
      </c>
      <c r="C11" s="6">
        <f>Referencias!F15</f>
        <v>2</v>
      </c>
      <c r="D11" s="6">
        <f t="shared" si="0"/>
        <v>2</v>
      </c>
      <c r="K11" s="84"/>
    </row>
    <row r="12" spans="1:11">
      <c r="A12" s="12" t="str">
        <f>Referencias!B17</f>
        <v>Embalagem Padrão</v>
      </c>
      <c r="B12" s="13">
        <v>1</v>
      </c>
      <c r="C12" s="6">
        <f>Referencias!F17</f>
        <v>1.5</v>
      </c>
      <c r="D12" s="6">
        <f t="shared" si="0"/>
        <v>1.5</v>
      </c>
      <c r="K12" s="84"/>
    </row>
    <row r="13" spans="1:11">
      <c r="A13" s="2" t="s">
        <v>312</v>
      </c>
      <c r="B13" s="12"/>
      <c r="C13" s="10"/>
      <c r="D13" s="3">
        <f>SUM(D2:D12)</f>
        <v>23.919999999999998</v>
      </c>
      <c r="K13" s="84"/>
    </row>
    <row r="14" spans="1:11">
      <c r="A14" s="2" t="s">
        <v>313</v>
      </c>
      <c r="B14" s="15">
        <v>0.55000000000000004</v>
      </c>
      <c r="C14" s="6">
        <f>D13*B14</f>
        <v>13.156000000000001</v>
      </c>
      <c r="D14" s="3">
        <f>D13+C14</f>
        <v>37.076000000000001</v>
      </c>
      <c r="E14" s="92"/>
      <c r="F14" s="93"/>
      <c r="G14" s="93"/>
      <c r="K14" s="84"/>
    </row>
    <row r="15" spans="1:11">
      <c r="A15" s="2" t="s">
        <v>314</v>
      </c>
      <c r="B15" s="40" t="s">
        <v>330</v>
      </c>
      <c r="C15" s="36" t="s">
        <v>331</v>
      </c>
      <c r="D15" s="10"/>
      <c r="E15" s="7"/>
      <c r="F15" s="7"/>
      <c r="G15" s="7"/>
      <c r="K15" s="84"/>
    </row>
    <row r="16" spans="1:11">
      <c r="A16" s="2" t="s">
        <v>315</v>
      </c>
      <c r="B16" s="37"/>
      <c r="C16" s="41"/>
      <c r="D16" s="3">
        <v>50</v>
      </c>
      <c r="E16" s="16"/>
      <c r="F16" s="16"/>
      <c r="G16" s="16"/>
      <c r="K16" s="84"/>
    </row>
    <row r="17" spans="1:11">
      <c r="K17" s="84"/>
    </row>
    <row r="18" spans="1:11">
      <c r="A18" s="89" t="s">
        <v>399</v>
      </c>
      <c r="B18" s="90"/>
      <c r="C18" s="91"/>
      <c r="D18" s="3">
        <v>20</v>
      </c>
      <c r="K18" s="84"/>
    </row>
    <row r="19" spans="1:11">
      <c r="A19" s="12" t="str">
        <f>Referencias!B165</f>
        <v>Entermeio Nossa Senhora Aparecida 1,5x1,1</v>
      </c>
      <c r="B19" s="13">
        <v>1</v>
      </c>
      <c r="C19" s="6">
        <f>Referencias!F165</f>
        <v>0.97</v>
      </c>
      <c r="D19" s="21">
        <f t="shared" ref="D19:D29" si="1">B19*C19</f>
        <v>0.97</v>
      </c>
      <c r="K19" s="84"/>
    </row>
    <row r="20" spans="1:11">
      <c r="A20" s="12" t="str">
        <f>Referencias!B168</f>
        <v>Cruxifixo Metal Niquel</v>
      </c>
      <c r="B20" s="26">
        <v>1</v>
      </c>
      <c r="C20" s="6">
        <f>Referencias!F168</f>
        <v>0.85</v>
      </c>
      <c r="D20" s="21">
        <f t="shared" si="1"/>
        <v>0.85</v>
      </c>
      <c r="K20" s="84"/>
    </row>
    <row r="21" spans="1:11">
      <c r="A21" s="12" t="str">
        <f>Referencias!B161</f>
        <v>Miçanga Jablonex</v>
      </c>
      <c r="B21" s="13">
        <v>3</v>
      </c>
      <c r="C21" s="6">
        <f>Referencias!F161</f>
        <v>0.47</v>
      </c>
      <c r="D21" s="21">
        <f t="shared" si="1"/>
        <v>1.41</v>
      </c>
      <c r="K21" s="84"/>
    </row>
    <row r="22" spans="1:11">
      <c r="A22" s="12" t="str">
        <f>Referencias!B172</f>
        <v>Argola</v>
      </c>
      <c r="B22" s="26">
        <v>1</v>
      </c>
      <c r="C22" s="6">
        <f>Referencias!F172</f>
        <v>0.14000000000000001</v>
      </c>
      <c r="D22" s="21">
        <f t="shared" si="1"/>
        <v>0.14000000000000001</v>
      </c>
      <c r="K22" s="84"/>
    </row>
    <row r="23" spans="1:11">
      <c r="A23" s="12" t="str">
        <f>Referencias!B170</f>
        <v>Contrapino</v>
      </c>
      <c r="B23" s="10">
        <v>59</v>
      </c>
      <c r="C23" s="6">
        <f>Referencias!F170</f>
        <v>0.02</v>
      </c>
      <c r="D23" s="21">
        <f t="shared" si="1"/>
        <v>1.18</v>
      </c>
      <c r="K23" s="84"/>
    </row>
    <row r="24" spans="1:11" ht="15">
      <c r="A24" s="12" t="str">
        <f>Referencias!B173</f>
        <v>Caixa Acrilica 5x5</v>
      </c>
      <c r="B24" s="12">
        <v>1</v>
      </c>
      <c r="C24" s="6">
        <f>Referencias!F173</f>
        <v>1</v>
      </c>
      <c r="D24" s="21">
        <f t="shared" si="1"/>
        <v>1</v>
      </c>
    </row>
    <row r="25" spans="1:11" ht="15">
      <c r="A25" s="12" t="str">
        <f>Referencias!B174</f>
        <v>Feltro 10x5</v>
      </c>
      <c r="B25" s="12">
        <v>1</v>
      </c>
      <c r="C25" s="6">
        <f>Referencias!F174</f>
        <v>0.13</v>
      </c>
      <c r="D25" s="21">
        <f t="shared" si="1"/>
        <v>0.13</v>
      </c>
    </row>
    <row r="26" spans="1:11" ht="15">
      <c r="A26" s="12" t="str">
        <f>Referencias!B9</f>
        <v>Fita cetim</v>
      </c>
      <c r="B26" s="12">
        <v>0.15</v>
      </c>
      <c r="C26" s="6">
        <f>Referencias!F9</f>
        <v>0.13</v>
      </c>
      <c r="D26" s="21">
        <f t="shared" si="1"/>
        <v>1.95E-2</v>
      </c>
    </row>
    <row r="27" spans="1:11" ht="15">
      <c r="A27" s="12" t="str">
        <f>Referencias!B62</f>
        <v>Frete</v>
      </c>
      <c r="B27" s="12"/>
      <c r="C27" s="6">
        <f>Referencias!F62</f>
        <v>0</v>
      </c>
      <c r="D27" s="21">
        <f t="shared" si="1"/>
        <v>0</v>
      </c>
    </row>
    <row r="28" spans="1:11" ht="15">
      <c r="A28" s="12" t="str">
        <f>Referencias!B14</f>
        <v>Desgaste Bloquinho/Outros</v>
      </c>
      <c r="B28" s="13">
        <v>1</v>
      </c>
      <c r="C28" s="6">
        <f>Referencias!F14</f>
        <v>0.5</v>
      </c>
      <c r="D28" s="21">
        <f t="shared" si="1"/>
        <v>0.5</v>
      </c>
    </row>
    <row r="29" spans="1:11" ht="15">
      <c r="A29" s="12" t="str">
        <f>Referencias!B17</f>
        <v>Embalagem Padrão</v>
      </c>
      <c r="B29" s="13">
        <v>1</v>
      </c>
      <c r="C29" s="6">
        <f>Referencias!F17</f>
        <v>1.5</v>
      </c>
      <c r="D29" s="21">
        <f t="shared" si="1"/>
        <v>1.5</v>
      </c>
    </row>
    <row r="30" spans="1:11" ht="15">
      <c r="A30" s="2" t="s">
        <v>312</v>
      </c>
      <c r="B30" s="12"/>
      <c r="C30" s="10"/>
      <c r="D30" s="3">
        <f>SUM(D19:D29)</f>
        <v>7.6994999999999996</v>
      </c>
    </row>
    <row r="31" spans="1:11" ht="15">
      <c r="A31" s="2" t="s">
        <v>313</v>
      </c>
      <c r="B31" s="15">
        <v>0.55000000000000004</v>
      </c>
      <c r="C31" s="6">
        <f>D30*B31</f>
        <v>4.2347250000000001</v>
      </c>
      <c r="D31" s="3">
        <f>D30+C31</f>
        <v>11.934225</v>
      </c>
      <c r="E31" s="92"/>
      <c r="F31" s="93"/>
      <c r="G31" s="93"/>
    </row>
    <row r="32" spans="1:11" ht="15">
      <c r="A32" s="2" t="s">
        <v>314</v>
      </c>
      <c r="B32" s="40"/>
      <c r="C32" s="36"/>
      <c r="D32" s="10"/>
      <c r="E32" s="7"/>
      <c r="F32" s="7"/>
      <c r="G32" s="7"/>
    </row>
    <row r="33" spans="1:7" ht="15">
      <c r="A33" s="2" t="s">
        <v>315</v>
      </c>
      <c r="B33" s="37"/>
      <c r="C33" s="41"/>
      <c r="D33" s="3">
        <v>20</v>
      </c>
      <c r="E33" s="16"/>
      <c r="F33" s="16"/>
      <c r="G33" s="16"/>
    </row>
    <row r="35" spans="1:7" ht="15">
      <c r="A35" s="89" t="s">
        <v>400</v>
      </c>
      <c r="B35" s="90"/>
      <c r="C35" s="91"/>
      <c r="D35" s="3">
        <v>30</v>
      </c>
    </row>
    <row r="36" spans="1:7" ht="15">
      <c r="A36" s="12" t="str">
        <f>Referencias!B164</f>
        <v>Entermeio Nossa Senhora Aparecida 1,9x1,5</v>
      </c>
      <c r="B36" s="13">
        <v>1</v>
      </c>
      <c r="C36" s="6">
        <f>Referencias!F164</f>
        <v>1.74</v>
      </c>
      <c r="D36" s="6">
        <f t="shared" ref="D36:D47" si="2">B36*C36</f>
        <v>1.74</v>
      </c>
    </row>
    <row r="37" spans="1:7" ht="15">
      <c r="A37" s="12" t="str">
        <f>Referencias!B169</f>
        <v>Cruz Face de Cristo 3,3x2</v>
      </c>
      <c r="B37" s="13">
        <v>1</v>
      </c>
      <c r="C37" s="6">
        <f>Referencias!F169</f>
        <v>1.2</v>
      </c>
      <c r="D37" s="6">
        <f t="shared" si="2"/>
        <v>1.2</v>
      </c>
    </row>
    <row r="38" spans="1:7" ht="15">
      <c r="A38" s="12" t="str">
        <f>Referencias!B160</f>
        <v>Balão de acrilico</v>
      </c>
      <c r="B38" s="13">
        <v>6</v>
      </c>
      <c r="C38" s="6">
        <f>Referencias!F160</f>
        <v>0.16</v>
      </c>
      <c r="D38" s="6">
        <f t="shared" si="2"/>
        <v>0.96</v>
      </c>
    </row>
    <row r="39" spans="1:7" ht="15">
      <c r="A39" s="12" t="str">
        <f>Referencias!B163</f>
        <v>Conta Plastica Florzinha</v>
      </c>
      <c r="B39" s="13">
        <v>1</v>
      </c>
      <c r="C39" s="6">
        <f>Referencias!F163</f>
        <v>0.19</v>
      </c>
      <c r="D39" s="6">
        <f t="shared" si="2"/>
        <v>0.19</v>
      </c>
    </row>
    <row r="40" spans="1:7" ht="15">
      <c r="A40" s="12" t="str">
        <f>Referencias!B172</f>
        <v>Argola</v>
      </c>
      <c r="B40" s="13">
        <v>1</v>
      </c>
      <c r="C40" s="6">
        <f>Referencias!F172</f>
        <v>0.14000000000000001</v>
      </c>
      <c r="D40" s="6">
        <f t="shared" si="2"/>
        <v>0.14000000000000001</v>
      </c>
    </row>
    <row r="41" spans="1:7" ht="15">
      <c r="A41" s="12" t="str">
        <f>Referencias!B170</f>
        <v>Contrapino</v>
      </c>
      <c r="B41" s="12">
        <v>59</v>
      </c>
      <c r="C41" s="6">
        <f>Referencias!F170</f>
        <v>0.02</v>
      </c>
      <c r="D41" s="6">
        <f t="shared" si="2"/>
        <v>1.18</v>
      </c>
    </row>
    <row r="42" spans="1:7" ht="15">
      <c r="A42" s="12" t="str">
        <f>Referencias!B173</f>
        <v>Caixa Acrilica 5x5</v>
      </c>
      <c r="B42" s="12">
        <v>1</v>
      </c>
      <c r="C42" s="6">
        <f>Referencias!F173</f>
        <v>1</v>
      </c>
      <c r="D42" s="6">
        <f t="shared" si="2"/>
        <v>1</v>
      </c>
    </row>
    <row r="43" spans="1:7" ht="15">
      <c r="A43" s="12" t="str">
        <f>Referencias!B174</f>
        <v>Feltro 10x5</v>
      </c>
      <c r="B43" s="12">
        <v>1</v>
      </c>
      <c r="C43" s="6">
        <f>Referencias!F174</f>
        <v>0.13</v>
      </c>
      <c r="D43" s="6">
        <f t="shared" si="2"/>
        <v>0.13</v>
      </c>
    </row>
    <row r="44" spans="1:7" ht="15">
      <c r="A44" s="12" t="str">
        <f>Referencias!B9</f>
        <v>Fita cetim</v>
      </c>
      <c r="B44" s="12">
        <v>0.15</v>
      </c>
      <c r="C44" s="6">
        <f>Referencias!F9</f>
        <v>0.13</v>
      </c>
      <c r="D44" s="6">
        <f t="shared" si="2"/>
        <v>1.95E-2</v>
      </c>
    </row>
    <row r="45" spans="1:7" ht="15">
      <c r="A45" s="12" t="str">
        <f>Referencias!B62</f>
        <v>Frete</v>
      </c>
      <c r="B45" s="12"/>
      <c r="C45" s="6">
        <f>Referencias!F62</f>
        <v>0</v>
      </c>
      <c r="D45" s="6">
        <f t="shared" si="2"/>
        <v>0</v>
      </c>
    </row>
    <row r="46" spans="1:7" ht="15">
      <c r="A46" s="12" t="str">
        <f>Referencias!B14</f>
        <v>Desgaste Bloquinho/Outros</v>
      </c>
      <c r="B46" s="13">
        <v>1</v>
      </c>
      <c r="C46" s="6">
        <f>Referencias!F14</f>
        <v>0.5</v>
      </c>
      <c r="D46" s="6">
        <f t="shared" si="2"/>
        <v>0.5</v>
      </c>
    </row>
    <row r="47" spans="1:7" ht="15">
      <c r="A47" s="12" t="str">
        <f>Referencias!B17</f>
        <v>Embalagem Padrão</v>
      </c>
      <c r="B47" s="13">
        <v>1</v>
      </c>
      <c r="C47" s="6">
        <f>Referencias!F17</f>
        <v>1.5</v>
      </c>
      <c r="D47" s="6">
        <f t="shared" si="2"/>
        <v>1.5</v>
      </c>
    </row>
    <row r="48" spans="1:7" ht="15">
      <c r="A48" s="2" t="s">
        <v>312</v>
      </c>
      <c r="B48" s="12"/>
      <c r="C48" s="6"/>
      <c r="D48" s="3">
        <f>SUM(D36:D47)</f>
        <v>8.5594999999999999</v>
      </c>
    </row>
    <row r="49" spans="1:13" ht="15">
      <c r="A49" s="2" t="s">
        <v>313</v>
      </c>
      <c r="B49" s="15">
        <v>0.55000000000000004</v>
      </c>
      <c r="C49" s="6">
        <f>D48*B49</f>
        <v>4.7077249999999999</v>
      </c>
      <c r="D49" s="3">
        <f>D48+C49</f>
        <v>13.267225</v>
      </c>
      <c r="E49" s="92"/>
      <c r="F49" s="93"/>
      <c r="G49" s="93"/>
    </row>
    <row r="50" spans="1:13" ht="15">
      <c r="A50" s="2" t="s">
        <v>314</v>
      </c>
      <c r="B50" s="40"/>
      <c r="C50" s="36"/>
      <c r="D50" s="10"/>
      <c r="E50" s="7"/>
      <c r="F50" s="7"/>
      <c r="G50" s="7"/>
    </row>
    <row r="51" spans="1:13" ht="15">
      <c r="A51" s="2" t="s">
        <v>315</v>
      </c>
      <c r="B51" s="37"/>
      <c r="C51" s="36"/>
      <c r="D51" s="3">
        <v>30</v>
      </c>
      <c r="E51" s="16"/>
      <c r="F51" s="16"/>
      <c r="G51" s="16"/>
    </row>
    <row r="53" spans="1:13" ht="15">
      <c r="A53" s="89" t="s">
        <v>401</v>
      </c>
      <c r="B53" s="90"/>
      <c r="C53" s="91"/>
      <c r="D53" s="3">
        <v>25</v>
      </c>
    </row>
    <row r="54" spans="1:13" ht="15">
      <c r="A54" s="12" t="str">
        <f>Referencias!B167</f>
        <v>Cruz e Entremeio emborrachado</v>
      </c>
      <c r="B54" s="13">
        <v>1</v>
      </c>
      <c r="C54" s="6">
        <f>Referencias!F167</f>
        <v>5.9</v>
      </c>
      <c r="D54" s="6">
        <f t="shared" ref="D54:D64" si="3">B54*C54</f>
        <v>5.9</v>
      </c>
    </row>
    <row r="55" spans="1:13" ht="15">
      <c r="A55" s="12" t="str">
        <f>Referencias!B162</f>
        <v>Cristal Plastico</v>
      </c>
      <c r="B55" s="13">
        <v>6</v>
      </c>
      <c r="C55" s="6">
        <f>Referencias!F160</f>
        <v>0.16</v>
      </c>
      <c r="D55" s="6">
        <f t="shared" si="3"/>
        <v>0.96</v>
      </c>
    </row>
    <row r="56" spans="1:13" ht="15">
      <c r="A56" s="12" t="str">
        <f>Referencias!B171</f>
        <v>Triangulo</v>
      </c>
      <c r="B56" s="13">
        <v>1</v>
      </c>
      <c r="C56" s="6">
        <f>Referencias!F171</f>
        <v>0.23</v>
      </c>
      <c r="D56" s="6">
        <f t="shared" si="3"/>
        <v>0.23</v>
      </c>
    </row>
    <row r="57" spans="1:13" ht="15">
      <c r="A57" s="12" t="str">
        <f>Referencias!B172</f>
        <v>Argola</v>
      </c>
      <c r="B57" s="13">
        <v>1</v>
      </c>
      <c r="C57" s="6">
        <f>Referencias!F172</f>
        <v>0.14000000000000001</v>
      </c>
      <c r="D57" s="6">
        <f t="shared" si="3"/>
        <v>0.14000000000000001</v>
      </c>
    </row>
    <row r="58" spans="1:13" ht="15">
      <c r="A58" s="12" t="str">
        <f>Referencias!B170</f>
        <v>Contrapino</v>
      </c>
      <c r="B58" s="13">
        <v>59</v>
      </c>
      <c r="C58" s="6">
        <f>Referencias!F170</f>
        <v>0.02</v>
      </c>
      <c r="D58" s="6">
        <f t="shared" si="3"/>
        <v>1.18</v>
      </c>
    </row>
    <row r="59" spans="1:13" ht="15">
      <c r="A59" s="12" t="str">
        <f>Referencias!B173</f>
        <v>Caixa Acrilica 5x5</v>
      </c>
      <c r="B59" s="12">
        <v>1</v>
      </c>
      <c r="C59" s="6">
        <f>Referencias!F173</f>
        <v>1</v>
      </c>
      <c r="D59" s="6">
        <f t="shared" si="3"/>
        <v>1</v>
      </c>
      <c r="L59" s="14"/>
      <c r="M59" s="14"/>
    </row>
    <row r="60" spans="1:13" ht="15">
      <c r="A60" s="12" t="str">
        <f>Referencias!B174</f>
        <v>Feltro 10x5</v>
      </c>
      <c r="B60" s="12">
        <v>1</v>
      </c>
      <c r="C60" s="6">
        <f>Referencias!F174</f>
        <v>0.13</v>
      </c>
      <c r="D60" s="6">
        <f t="shared" si="3"/>
        <v>0.13</v>
      </c>
      <c r="L60" s="14"/>
      <c r="M60" s="14"/>
    </row>
    <row r="61" spans="1:13" ht="15">
      <c r="A61" s="12" t="str">
        <f>Referencias!B9</f>
        <v>Fita cetim</v>
      </c>
      <c r="B61" s="12">
        <v>0.15</v>
      </c>
      <c r="C61" s="6">
        <f>Referencias!F9</f>
        <v>0.13</v>
      </c>
      <c r="D61" s="6">
        <f t="shared" si="3"/>
        <v>1.95E-2</v>
      </c>
    </row>
    <row r="62" spans="1:13" ht="15">
      <c r="A62" s="12" t="str">
        <f>Referencias!B62</f>
        <v>Frete</v>
      </c>
      <c r="B62" s="12">
        <v>0</v>
      </c>
      <c r="C62" s="6">
        <f>Referencias!F62</f>
        <v>0</v>
      </c>
      <c r="D62" s="6">
        <f t="shared" si="3"/>
        <v>0</v>
      </c>
    </row>
    <row r="63" spans="1:13" ht="15">
      <c r="A63" s="12" t="str">
        <f>Referencias!B14</f>
        <v>Desgaste Bloquinho/Outros</v>
      </c>
      <c r="B63" s="13">
        <v>1</v>
      </c>
      <c r="C63" s="6">
        <f>Referencias!F14</f>
        <v>0.5</v>
      </c>
      <c r="D63" s="6">
        <f t="shared" si="3"/>
        <v>0.5</v>
      </c>
    </row>
    <row r="64" spans="1:13" ht="15">
      <c r="A64" s="12" t="str">
        <f>Referencias!B17</f>
        <v>Embalagem Padrão</v>
      </c>
      <c r="B64" s="13">
        <v>1</v>
      </c>
      <c r="C64" s="6">
        <f>Referencias!F17</f>
        <v>1.5</v>
      </c>
      <c r="D64" s="6">
        <f t="shared" si="3"/>
        <v>1.5</v>
      </c>
    </row>
    <row r="65" spans="1:7" ht="15">
      <c r="A65" s="2" t="s">
        <v>312</v>
      </c>
      <c r="B65" s="12"/>
      <c r="C65" s="10"/>
      <c r="D65" s="3">
        <f>SUM(D54:D64)</f>
        <v>11.559500000000002</v>
      </c>
    </row>
    <row r="66" spans="1:7" ht="15" customHeight="1">
      <c r="A66" s="2" t="s">
        <v>313</v>
      </c>
      <c r="B66" s="15">
        <v>0.55000000000000004</v>
      </c>
      <c r="C66" s="6">
        <f>D65*B66</f>
        <v>6.3577250000000012</v>
      </c>
      <c r="D66" s="3">
        <f>D65+C66</f>
        <v>17.917225000000002</v>
      </c>
      <c r="E66" s="92"/>
      <c r="F66" s="93"/>
      <c r="G66" s="93"/>
    </row>
    <row r="67" spans="1:7" ht="15">
      <c r="A67" s="2" t="s">
        <v>314</v>
      </c>
      <c r="B67" s="40"/>
      <c r="C67" s="36"/>
      <c r="D67" s="10"/>
      <c r="E67" s="7"/>
      <c r="F67" s="7"/>
      <c r="G67" s="7"/>
    </row>
    <row r="68" spans="1:7" ht="15">
      <c r="A68" s="2" t="s">
        <v>315</v>
      </c>
      <c r="B68" s="37"/>
      <c r="C68" s="41"/>
      <c r="D68" s="3">
        <v>25</v>
      </c>
      <c r="E68" s="16"/>
      <c r="F68" s="16"/>
      <c r="G68" s="16"/>
    </row>
    <row r="70" spans="1:7" ht="15">
      <c r="A70" s="89" t="s">
        <v>402</v>
      </c>
      <c r="B70" s="90"/>
      <c r="C70" s="91"/>
      <c r="D70" s="3">
        <v>20</v>
      </c>
    </row>
    <row r="71" spans="1:7" ht="15">
      <c r="A71" s="12" t="str">
        <f>Referencias!B166</f>
        <v>Entermeio Medalha de São Bento 1,5x1,5</v>
      </c>
      <c r="B71" s="13">
        <v>1</v>
      </c>
      <c r="C71" s="6">
        <f>Referencias!F166</f>
        <v>0.95</v>
      </c>
      <c r="D71" s="6">
        <f t="shared" ref="D71:D81" si="4">B71*C71</f>
        <v>0.95</v>
      </c>
    </row>
    <row r="72" spans="1:7" ht="15">
      <c r="A72" s="12" t="str">
        <f>Referencias!B168</f>
        <v>Cruxifixo Metal Niquel</v>
      </c>
      <c r="B72" s="13">
        <v>1</v>
      </c>
      <c r="C72" s="6">
        <f>Referencias!F168</f>
        <v>0.85</v>
      </c>
      <c r="D72" s="6">
        <f t="shared" si="4"/>
        <v>0.85</v>
      </c>
    </row>
    <row r="73" spans="1:7" ht="15">
      <c r="A73" s="12" t="str">
        <f>Referencias!B160</f>
        <v>Balão de acrilico</v>
      </c>
      <c r="B73" s="13">
        <v>6</v>
      </c>
      <c r="C73" s="6">
        <f>Referencias!F160</f>
        <v>0.16</v>
      </c>
      <c r="D73" s="6">
        <f t="shared" si="4"/>
        <v>0.96</v>
      </c>
    </row>
    <row r="74" spans="1:7" ht="15">
      <c r="A74" s="12" t="str">
        <f>Referencias!B172</f>
        <v>Argola</v>
      </c>
      <c r="B74" s="13">
        <v>1</v>
      </c>
      <c r="C74" s="6">
        <f>Referencias!F172</f>
        <v>0.14000000000000001</v>
      </c>
      <c r="D74" s="6">
        <f t="shared" si="4"/>
        <v>0.14000000000000001</v>
      </c>
    </row>
    <row r="75" spans="1:7" ht="15">
      <c r="A75" s="12" t="str">
        <f>Referencias!B170</f>
        <v>Contrapino</v>
      </c>
      <c r="B75" s="13">
        <v>59</v>
      </c>
      <c r="C75" s="6">
        <f>Referencias!F170</f>
        <v>0.02</v>
      </c>
      <c r="D75" s="6">
        <f t="shared" si="4"/>
        <v>1.18</v>
      </c>
    </row>
    <row r="76" spans="1:7" ht="15">
      <c r="A76" s="12" t="str">
        <f>Referencias!B173</f>
        <v>Caixa Acrilica 5x5</v>
      </c>
      <c r="B76" s="12">
        <v>0.5</v>
      </c>
      <c r="C76" s="6">
        <f>Referencias!F173</f>
        <v>1</v>
      </c>
      <c r="D76" s="6">
        <f t="shared" si="4"/>
        <v>0.5</v>
      </c>
    </row>
    <row r="77" spans="1:7" ht="15">
      <c r="A77" s="12" t="str">
        <f>Referencias!B174</f>
        <v>Feltro 10x5</v>
      </c>
      <c r="B77" s="12">
        <v>1</v>
      </c>
      <c r="C77" s="6">
        <f>Referencias!F174</f>
        <v>0.13</v>
      </c>
      <c r="D77" s="6">
        <f t="shared" si="4"/>
        <v>0.13</v>
      </c>
    </row>
    <row r="78" spans="1:7" ht="15">
      <c r="A78" s="12" t="str">
        <f>Referencias!B9</f>
        <v>Fita cetim</v>
      </c>
      <c r="B78" s="12">
        <v>0.15</v>
      </c>
      <c r="C78" s="6">
        <f>Referencias!F9</f>
        <v>0.13</v>
      </c>
      <c r="D78" s="6">
        <f t="shared" si="4"/>
        <v>1.95E-2</v>
      </c>
    </row>
    <row r="79" spans="1:7" ht="15">
      <c r="A79" s="12" t="str">
        <f>Referencias!B62</f>
        <v>Frete</v>
      </c>
      <c r="B79" s="12"/>
      <c r="C79" s="6">
        <f>Referencias!F62</f>
        <v>0</v>
      </c>
      <c r="D79" s="6">
        <f t="shared" si="4"/>
        <v>0</v>
      </c>
    </row>
    <row r="80" spans="1:7" ht="15">
      <c r="A80" s="12" t="str">
        <f>Referencias!B14</f>
        <v>Desgaste Bloquinho/Outros</v>
      </c>
      <c r="B80" s="13">
        <v>1</v>
      </c>
      <c r="C80" s="6">
        <f>Referencias!F14</f>
        <v>0.5</v>
      </c>
      <c r="D80" s="6">
        <f t="shared" si="4"/>
        <v>0.5</v>
      </c>
    </row>
    <row r="81" spans="1:7" ht="15">
      <c r="A81" s="12" t="str">
        <f>Referencias!B17</f>
        <v>Embalagem Padrão</v>
      </c>
      <c r="B81" s="13">
        <v>1</v>
      </c>
      <c r="C81" s="6">
        <f>Referencias!F17</f>
        <v>1.5</v>
      </c>
      <c r="D81" s="6">
        <f t="shared" si="4"/>
        <v>1.5</v>
      </c>
    </row>
    <row r="82" spans="1:7" ht="15">
      <c r="A82" s="2" t="s">
        <v>312</v>
      </c>
      <c r="B82" s="12"/>
      <c r="C82" s="10"/>
      <c r="D82" s="3">
        <f>SUM(D71:D81)</f>
        <v>6.7294999999999998</v>
      </c>
      <c r="E82" s="92"/>
      <c r="F82" s="93"/>
      <c r="G82" s="93"/>
    </row>
    <row r="83" spans="1:7" ht="15">
      <c r="A83" s="2" t="s">
        <v>313</v>
      </c>
      <c r="B83" s="15">
        <v>0.55000000000000004</v>
      </c>
      <c r="C83" s="6">
        <f>D82*B83</f>
        <v>3.701225</v>
      </c>
      <c r="D83" s="3">
        <f>D82+C83</f>
        <v>10.430724999999999</v>
      </c>
      <c r="E83" s="7"/>
      <c r="F83" s="7"/>
      <c r="G83" s="7"/>
    </row>
    <row r="84" spans="1:7" ht="15">
      <c r="A84" s="2" t="s">
        <v>314</v>
      </c>
      <c r="B84" s="40"/>
      <c r="C84" s="36"/>
      <c r="D84" s="10"/>
      <c r="E84" s="16"/>
      <c r="F84" s="16"/>
      <c r="G84" s="16"/>
    </row>
    <row r="85" spans="1:7" ht="15">
      <c r="A85" s="2" t="s">
        <v>315</v>
      </c>
      <c r="B85" s="37"/>
      <c r="C85" s="41"/>
      <c r="D85" s="3">
        <v>20</v>
      </c>
      <c r="E85" s="39"/>
      <c r="F85" s="39"/>
      <c r="G85" s="39"/>
    </row>
    <row r="87" spans="1:7" ht="15">
      <c r="A87" s="89" t="s">
        <v>327</v>
      </c>
      <c r="B87" s="90"/>
      <c r="C87" s="91"/>
      <c r="D87" s="23">
        <v>40</v>
      </c>
      <c r="E87" s="18"/>
      <c r="F87" s="18"/>
    </row>
    <row r="88" spans="1:7" ht="15">
      <c r="A88" s="19" t="str">
        <f>Referencias!B58</f>
        <v>Papelão 16x22</v>
      </c>
      <c r="B88" s="26">
        <v>2</v>
      </c>
      <c r="C88" s="6">
        <f>Referencias!F58</f>
        <v>1.5</v>
      </c>
      <c r="D88" s="21">
        <f t="shared" ref="D88:D98" si="5">B88*C88</f>
        <v>3</v>
      </c>
      <c r="E88" s="18"/>
      <c r="F88" s="18"/>
      <c r="G88" s="18"/>
    </row>
    <row r="89" spans="1:7" ht="15">
      <c r="A89" s="19" t="str">
        <f>Referencias!B53</f>
        <v>Papel fotografico A4</v>
      </c>
      <c r="B89" s="26">
        <v>2</v>
      </c>
      <c r="C89" s="6">
        <f>Referencias!F53</f>
        <v>0.8</v>
      </c>
      <c r="D89" s="21">
        <f t="shared" si="5"/>
        <v>1.6</v>
      </c>
      <c r="E89" s="18"/>
      <c r="F89" s="18"/>
      <c r="G89" s="18"/>
    </row>
    <row r="90" spans="1:7" ht="15">
      <c r="A90" s="19" t="str">
        <f>Referencias!B31</f>
        <v>bopp</v>
      </c>
      <c r="B90" s="13">
        <f>0.3*2</f>
        <v>0.6</v>
      </c>
      <c r="C90" s="6">
        <f>Referencias!F31</f>
        <v>0.45</v>
      </c>
      <c r="D90" s="21">
        <f t="shared" si="5"/>
        <v>0.27</v>
      </c>
      <c r="E90" s="18"/>
      <c r="F90" s="18"/>
      <c r="G90" s="18"/>
    </row>
    <row r="91" spans="1:7" ht="15">
      <c r="A91" s="19" t="str">
        <f>Referencias!B48</f>
        <v>Papel guarda 15,5x21,5 offset adesivo</v>
      </c>
      <c r="B91" s="26">
        <v>2</v>
      </c>
      <c r="C91" s="6">
        <f>Referencias!F48</f>
        <v>0.75</v>
      </c>
      <c r="D91" s="21">
        <f t="shared" si="5"/>
        <v>1.5</v>
      </c>
      <c r="E91" s="18"/>
      <c r="F91" s="18"/>
      <c r="G91" s="18"/>
    </row>
    <row r="92" spans="1:7" ht="15">
      <c r="A92" s="19" t="str">
        <f>Referencias!B45</f>
        <v>miolo 90gr A5</v>
      </c>
      <c r="B92" s="26">
        <v>81</v>
      </c>
      <c r="C92" s="6">
        <f>Referencias!F45</f>
        <v>0.05</v>
      </c>
      <c r="D92" s="6">
        <f t="shared" si="5"/>
        <v>4.05</v>
      </c>
      <c r="E92" s="18"/>
      <c r="F92" s="18"/>
      <c r="G92" s="18"/>
    </row>
    <row r="93" spans="1:7" ht="15">
      <c r="A93" s="19" t="str">
        <f>Referencias!B19</f>
        <v>Espiral 29mm</v>
      </c>
      <c r="B93" s="26">
        <v>1</v>
      </c>
      <c r="C93" s="21">
        <f>Referencias!F19</f>
        <v>1.83</v>
      </c>
      <c r="D93" s="21">
        <f t="shared" si="5"/>
        <v>1.83</v>
      </c>
      <c r="E93" s="18"/>
      <c r="F93" s="18"/>
      <c r="G93" s="18"/>
    </row>
    <row r="94" spans="1:7" ht="15">
      <c r="A94" s="19" t="str">
        <f>Referencias!B22</f>
        <v>Impressao Capa A4</v>
      </c>
      <c r="B94" s="26">
        <v>2</v>
      </c>
      <c r="C94" s="6">
        <f>Referencias!F22</f>
        <v>0.5</v>
      </c>
      <c r="D94" s="21">
        <f t="shared" si="5"/>
        <v>1</v>
      </c>
      <c r="E94" s="18"/>
      <c r="F94" s="18"/>
      <c r="G94" s="18"/>
    </row>
    <row r="95" spans="1:7" ht="15">
      <c r="A95" s="19" t="str">
        <f>Referencias!B29</f>
        <v>Impressao Miolo Frente Verso A5</v>
      </c>
      <c r="B95" s="26">
        <v>81</v>
      </c>
      <c r="C95" s="6">
        <f>Referencias!F29</f>
        <v>0.06</v>
      </c>
      <c r="D95" s="21">
        <f t="shared" si="5"/>
        <v>4.8599999999999994</v>
      </c>
      <c r="E95" s="18"/>
      <c r="F95" s="18"/>
      <c r="G95" s="18"/>
    </row>
    <row r="96" spans="1:7" ht="15">
      <c r="A96" s="19" t="str">
        <f>Referencias!B62</f>
        <v>Frete</v>
      </c>
      <c r="B96" s="27"/>
      <c r="C96" s="28">
        <f>Referencias!F62</f>
        <v>0</v>
      </c>
      <c r="D96" s="21">
        <f t="shared" si="5"/>
        <v>0</v>
      </c>
      <c r="E96" s="18"/>
      <c r="F96" s="18"/>
      <c r="G96" s="18"/>
    </row>
    <row r="97" spans="1:18" ht="15">
      <c r="A97" s="19" t="str">
        <f>Referencias!B15</f>
        <v>Desgaste Caderno A5</v>
      </c>
      <c r="B97" s="26">
        <v>1</v>
      </c>
      <c r="C97" s="6">
        <f>Referencias!F15</f>
        <v>2</v>
      </c>
      <c r="D97" s="21">
        <f t="shared" si="5"/>
        <v>2</v>
      </c>
      <c r="E97" s="18"/>
      <c r="F97" s="18"/>
      <c r="G97" s="18"/>
    </row>
    <row r="98" spans="1:18" ht="15">
      <c r="A98" s="19" t="str">
        <f>Referencias!B17</f>
        <v>Embalagem Padrão</v>
      </c>
      <c r="B98" s="26">
        <v>1</v>
      </c>
      <c r="C98" s="6">
        <f>Referencias!F17</f>
        <v>1.5</v>
      </c>
      <c r="D98" s="21">
        <f t="shared" si="5"/>
        <v>1.5</v>
      </c>
      <c r="E98" s="18"/>
      <c r="F98" s="18"/>
      <c r="G98" s="18"/>
    </row>
    <row r="99" spans="1:18" ht="15">
      <c r="A99" s="22" t="s">
        <v>312</v>
      </c>
      <c r="B99" s="27"/>
      <c r="C99" s="28"/>
      <c r="D99" s="23">
        <f>SUM(D88:D98)</f>
        <v>21.61</v>
      </c>
      <c r="E99" s="18"/>
      <c r="F99" s="18"/>
      <c r="G99" s="18"/>
    </row>
    <row r="100" spans="1:18" ht="15">
      <c r="A100" s="22" t="s">
        <v>313</v>
      </c>
      <c r="B100" s="24">
        <v>0.55000000000000004</v>
      </c>
      <c r="C100" s="21">
        <f>D99*B100</f>
        <v>11.8855</v>
      </c>
      <c r="D100" s="23">
        <f>D99+C100</f>
        <v>33.4955</v>
      </c>
      <c r="E100" s="92"/>
      <c r="F100" s="93"/>
      <c r="G100" s="93"/>
    </row>
    <row r="101" spans="1:18" ht="15">
      <c r="A101" s="22" t="s">
        <v>314</v>
      </c>
      <c r="B101" s="29" t="s">
        <v>322</v>
      </c>
      <c r="C101" s="30"/>
      <c r="D101" s="27"/>
      <c r="E101" s="7"/>
      <c r="F101" s="7"/>
      <c r="G101" s="7"/>
    </row>
    <row r="102" spans="1:18" ht="15">
      <c r="A102" s="22" t="s">
        <v>315</v>
      </c>
      <c r="B102" s="32">
        <v>39</v>
      </c>
      <c r="C102" s="30"/>
      <c r="D102" s="23">
        <v>40</v>
      </c>
      <c r="E102" s="16"/>
      <c r="F102" s="16"/>
      <c r="G102" s="16"/>
    </row>
    <row r="104" spans="1:18" ht="15">
      <c r="A104" s="89" t="s">
        <v>403</v>
      </c>
      <c r="B104" s="90"/>
      <c r="C104" s="91"/>
      <c r="D104" s="11">
        <v>30</v>
      </c>
      <c r="G104" s="14"/>
      <c r="N104" s="7"/>
      <c r="O104" s="31"/>
      <c r="P104" s="31"/>
      <c r="Q104" s="47"/>
      <c r="R104" s="31"/>
    </row>
    <row r="105" spans="1:18" ht="15">
      <c r="A105" s="12" t="str">
        <f>Referencias!B58</f>
        <v>Papelão 16x22</v>
      </c>
      <c r="B105" s="26">
        <v>2</v>
      </c>
      <c r="C105" s="6">
        <f>Referencias!F58</f>
        <v>1.5</v>
      </c>
      <c r="D105" s="6">
        <f t="shared" ref="D105:D110" si="6">B105*C105</f>
        <v>3</v>
      </c>
      <c r="N105" s="31"/>
      <c r="O105" s="8"/>
      <c r="P105" s="8"/>
      <c r="Q105" s="8"/>
      <c r="R105" s="85"/>
    </row>
    <row r="106" spans="1:18" ht="15">
      <c r="A106" s="12" t="str">
        <f>Referencias!B53</f>
        <v>Papel fotografico A4</v>
      </c>
      <c r="B106" s="26">
        <v>2</v>
      </c>
      <c r="C106" s="6">
        <f>Referencias!F53</f>
        <v>0.8</v>
      </c>
      <c r="D106" s="6">
        <f t="shared" si="6"/>
        <v>1.6</v>
      </c>
      <c r="N106" s="31"/>
      <c r="O106" s="8"/>
      <c r="P106" s="8"/>
      <c r="Q106" s="8"/>
      <c r="R106" s="31"/>
    </row>
    <row r="107" spans="1:18" ht="15">
      <c r="A107" s="12" t="str">
        <f>Referencias!B31</f>
        <v>bopp</v>
      </c>
      <c r="B107" s="13">
        <f>0.3*2</f>
        <v>0.6</v>
      </c>
      <c r="C107" s="6">
        <f>Referencias!F31</f>
        <v>0.45</v>
      </c>
      <c r="D107" s="6">
        <f t="shared" si="6"/>
        <v>0.27</v>
      </c>
      <c r="N107" s="31"/>
      <c r="O107" s="8"/>
      <c r="P107" s="8"/>
      <c r="Q107" s="8"/>
      <c r="R107" s="31"/>
    </row>
    <row r="108" spans="1:18" ht="15">
      <c r="A108" s="12" t="str">
        <f>Referencias!B48</f>
        <v>Papel guarda 15,5x21,5 offset adesivo</v>
      </c>
      <c r="B108" s="26">
        <v>2</v>
      </c>
      <c r="C108" s="6">
        <f>Referencias!F48</f>
        <v>0.75</v>
      </c>
      <c r="D108" s="6">
        <f t="shared" si="6"/>
        <v>1.5</v>
      </c>
      <c r="N108" s="31"/>
      <c r="O108" s="31"/>
      <c r="Q108" s="8"/>
      <c r="R108" s="69"/>
    </row>
    <row r="109" spans="1:18" ht="15">
      <c r="A109" s="12" t="str">
        <f>Referencias!B45</f>
        <v>miolo 90gr A5</v>
      </c>
      <c r="B109" s="26">
        <v>30</v>
      </c>
      <c r="C109" s="6">
        <f>Referencias!F45</f>
        <v>0.05</v>
      </c>
      <c r="D109" s="6">
        <f t="shared" si="6"/>
        <v>1.5</v>
      </c>
      <c r="N109" s="7"/>
      <c r="O109" s="31"/>
      <c r="P109" s="31"/>
      <c r="Q109" s="47"/>
    </row>
    <row r="110" spans="1:18" ht="15">
      <c r="A110" s="12" t="str">
        <f>Referencias!B18</f>
        <v>Espiral 17mm</v>
      </c>
      <c r="B110" s="26">
        <v>1</v>
      </c>
      <c r="C110" s="6">
        <f>Referencias!F18</f>
        <v>0.52</v>
      </c>
      <c r="D110" s="6">
        <f t="shared" si="6"/>
        <v>0.52</v>
      </c>
      <c r="N110" s="31"/>
      <c r="O110" s="8"/>
      <c r="P110" s="8"/>
      <c r="Q110" s="8"/>
    </row>
    <row r="111" spans="1:18" ht="15">
      <c r="A111" s="12" t="str">
        <f>Referencias!B22</f>
        <v>Impressao Capa A4</v>
      </c>
      <c r="B111" s="26">
        <v>2</v>
      </c>
      <c r="C111" s="6">
        <f>Referencias!F22</f>
        <v>0.5</v>
      </c>
      <c r="D111" s="6"/>
      <c r="O111" s="8"/>
      <c r="P111" s="8"/>
      <c r="Q111" s="8"/>
    </row>
    <row r="112" spans="1:18" ht="15">
      <c r="A112" s="12" t="str">
        <f>Referencias!B29</f>
        <v>Impressao Miolo Frente Verso A5</v>
      </c>
      <c r="B112" s="26">
        <v>30</v>
      </c>
      <c r="C112" s="6">
        <f>Referencias!F29</f>
        <v>0.06</v>
      </c>
      <c r="D112" s="6"/>
      <c r="O112" s="8"/>
      <c r="P112" s="8"/>
      <c r="Q112" s="8"/>
    </row>
    <row r="113" spans="1:17" ht="15">
      <c r="A113" s="12" t="str">
        <f>Referencias!B62</f>
        <v>Frete</v>
      </c>
      <c r="B113" s="27"/>
      <c r="C113" s="6">
        <f>Referencias!F62</f>
        <v>0</v>
      </c>
      <c r="D113" s="6">
        <f t="shared" ref="D113:D115" si="7">B113*C113</f>
        <v>0</v>
      </c>
      <c r="O113" s="8"/>
      <c r="P113" s="8"/>
      <c r="Q113" s="8"/>
    </row>
    <row r="114" spans="1:17" ht="15">
      <c r="A114" s="12" t="str">
        <f>Referencias!B15</f>
        <v>Desgaste Caderno A5</v>
      </c>
      <c r="B114" s="26">
        <v>1</v>
      </c>
      <c r="C114" s="6">
        <f>Referencias!F14</f>
        <v>0.5</v>
      </c>
      <c r="D114" s="6">
        <f t="shared" si="7"/>
        <v>0.5</v>
      </c>
      <c r="O114" s="8"/>
      <c r="P114" s="8"/>
      <c r="Q114" s="8"/>
    </row>
    <row r="115" spans="1:17" ht="15">
      <c r="A115" s="12" t="str">
        <f>Referencias!B17</f>
        <v>Embalagem Padrão</v>
      </c>
      <c r="B115" s="26">
        <v>1</v>
      </c>
      <c r="C115" s="6">
        <f>Referencias!F17</f>
        <v>1.5</v>
      </c>
      <c r="D115" s="6">
        <f t="shared" si="7"/>
        <v>1.5</v>
      </c>
      <c r="O115" s="31"/>
      <c r="P115" s="31"/>
      <c r="Q115" s="8"/>
    </row>
    <row r="116" spans="1:17" ht="15">
      <c r="A116" s="2" t="s">
        <v>312</v>
      </c>
      <c r="B116" s="12"/>
      <c r="C116" s="6"/>
      <c r="D116" s="3">
        <f>SUM(D105:D115)</f>
        <v>10.389999999999999</v>
      </c>
    </row>
    <row r="117" spans="1:17" ht="15">
      <c r="A117" s="2" t="s">
        <v>313</v>
      </c>
      <c r="B117" s="15">
        <v>0.55000000000000004</v>
      </c>
      <c r="C117" s="6">
        <f>D116*B117</f>
        <v>5.7145000000000001</v>
      </c>
      <c r="D117" s="3">
        <f>D116+C117</f>
        <v>16.104499999999998</v>
      </c>
      <c r="E117" s="92"/>
      <c r="F117" s="93"/>
      <c r="G117" s="93"/>
    </row>
    <row r="118" spans="1:17" ht="15">
      <c r="A118" s="2" t="s">
        <v>314</v>
      </c>
      <c r="B118" s="12"/>
      <c r="C118" s="10"/>
      <c r="D118" s="10"/>
      <c r="E118" s="7"/>
      <c r="F118" s="7"/>
      <c r="G118" s="7"/>
    </row>
    <row r="119" spans="1:17" ht="15">
      <c r="A119" s="2" t="s">
        <v>315</v>
      </c>
      <c r="B119" s="12"/>
      <c r="C119" s="10"/>
      <c r="D119" s="11">
        <v>30</v>
      </c>
      <c r="E119" s="16"/>
      <c r="F119" s="16"/>
      <c r="G119" s="16"/>
    </row>
    <row r="121" spans="1:17" ht="15">
      <c r="A121" s="89" t="s">
        <v>404</v>
      </c>
      <c r="B121" s="90"/>
      <c r="C121" s="91"/>
      <c r="D121" s="11">
        <v>5</v>
      </c>
      <c r="G121" s="14"/>
    </row>
    <row r="122" spans="1:17" ht="15">
      <c r="A122" s="12" t="str">
        <f>Referencias!B175</f>
        <v>Pétala EVA 10cm</v>
      </c>
      <c r="B122" s="12">
        <v>5</v>
      </c>
      <c r="C122" s="6">
        <f>Referencias!F175</f>
        <v>7.0000000000000007E-2</v>
      </c>
      <c r="D122" s="6">
        <f t="shared" ref="D122:D131" si="8">B122*C122</f>
        <v>0.35000000000000003</v>
      </c>
    </row>
    <row r="123" spans="1:17" ht="15">
      <c r="A123" s="12" t="str">
        <f>Referencias!B176</f>
        <v>Folha EVA 8cm</v>
      </c>
      <c r="B123" s="13">
        <v>1</v>
      </c>
      <c r="C123" s="6">
        <f>Referencias!F176</f>
        <v>0.03</v>
      </c>
      <c r="D123" s="6">
        <f t="shared" si="8"/>
        <v>0.03</v>
      </c>
    </row>
    <row r="124" spans="1:17" ht="15">
      <c r="A124" s="12" t="str">
        <f>Referencias!B177</f>
        <v>Pétala EVA 9cm</v>
      </c>
      <c r="B124" s="13">
        <v>1</v>
      </c>
      <c r="C124" s="6">
        <f>Referencias!F177</f>
        <v>0.05</v>
      </c>
      <c r="D124" s="6">
        <f t="shared" si="8"/>
        <v>0.05</v>
      </c>
    </row>
    <row r="125" spans="1:17" ht="15">
      <c r="A125" s="12" t="str">
        <f>Referencias!B178</f>
        <v>Suporte Balão</v>
      </c>
      <c r="B125" s="13">
        <v>1</v>
      </c>
      <c r="C125" s="6">
        <f>Referencias!F178</f>
        <v>0.35</v>
      </c>
      <c r="D125" s="6">
        <f t="shared" si="8"/>
        <v>0.35</v>
      </c>
    </row>
    <row r="126" spans="1:17" ht="15">
      <c r="A126" s="12" t="str">
        <f>Referencias!B179</f>
        <v>Fita Floral 12mm</v>
      </c>
      <c r="B126" s="13">
        <v>0.33</v>
      </c>
      <c r="C126" s="6">
        <f>Referencias!F179</f>
        <v>0.15</v>
      </c>
      <c r="D126" s="6">
        <f t="shared" si="8"/>
        <v>4.9500000000000002E-2</v>
      </c>
    </row>
    <row r="127" spans="1:17" ht="15">
      <c r="A127" s="12" t="str">
        <f>Referencias!B180</f>
        <v>Saquinho Flor</v>
      </c>
      <c r="B127" s="12">
        <v>1</v>
      </c>
      <c r="C127" s="6">
        <f>Referencias!F180</f>
        <v>0.24</v>
      </c>
      <c r="D127" s="6">
        <f t="shared" si="8"/>
        <v>0.24</v>
      </c>
    </row>
    <row r="128" spans="1:17" ht="15">
      <c r="A128" s="12" t="str">
        <f>Referencias!B9</f>
        <v>Fita cetim</v>
      </c>
      <c r="B128" s="12">
        <v>0.2</v>
      </c>
      <c r="C128" s="6">
        <f>Referencias!F9</f>
        <v>0.13</v>
      </c>
      <c r="D128" s="6">
        <f t="shared" si="8"/>
        <v>2.6000000000000002E-2</v>
      </c>
    </row>
    <row r="129" spans="1:9" ht="15">
      <c r="A129" s="12" t="str">
        <f>Referencias!B62</f>
        <v>Frete</v>
      </c>
      <c r="B129" s="12">
        <v>0</v>
      </c>
      <c r="C129" s="6">
        <f>Referencias!F62</f>
        <v>0</v>
      </c>
      <c r="D129" s="6">
        <f t="shared" si="8"/>
        <v>0</v>
      </c>
    </row>
    <row r="130" spans="1:9" ht="15">
      <c r="A130" s="12" t="str">
        <f>Referencias!B14</f>
        <v>Desgaste Bloquinho/Outros</v>
      </c>
      <c r="B130" s="12">
        <v>1</v>
      </c>
      <c r="C130" s="6">
        <f>Referencias!F14</f>
        <v>0.5</v>
      </c>
      <c r="D130" s="6">
        <f t="shared" si="8"/>
        <v>0.5</v>
      </c>
    </row>
    <row r="131" spans="1:9" ht="15">
      <c r="A131" s="12" t="str">
        <f>Referencias!B17</f>
        <v>Embalagem Padrão</v>
      </c>
      <c r="B131" s="13">
        <v>1</v>
      </c>
      <c r="C131" s="6">
        <f>Referencias!F17</f>
        <v>1.5</v>
      </c>
      <c r="D131" s="6">
        <f t="shared" si="8"/>
        <v>1.5</v>
      </c>
    </row>
    <row r="132" spans="1:9" ht="15">
      <c r="A132" s="2" t="s">
        <v>312</v>
      </c>
      <c r="B132" s="12"/>
      <c r="C132" s="6"/>
      <c r="D132" s="3">
        <f>SUM(D122:D131)</f>
        <v>3.0955000000000004</v>
      </c>
    </row>
    <row r="133" spans="1:9" ht="15">
      <c r="A133" s="2" t="s">
        <v>313</v>
      </c>
      <c r="B133" s="15">
        <v>0.55000000000000004</v>
      </c>
      <c r="C133" s="6">
        <f>D132*B133</f>
        <v>1.7025250000000003</v>
      </c>
      <c r="D133" s="3">
        <f>D132+C133</f>
        <v>4.7980250000000009</v>
      </c>
      <c r="E133" s="92"/>
      <c r="F133" s="93"/>
      <c r="G133" s="93"/>
    </row>
    <row r="134" spans="1:9" ht="15">
      <c r="A134" s="2" t="s">
        <v>314</v>
      </c>
      <c r="B134" s="12"/>
      <c r="C134" s="10"/>
      <c r="D134" s="10"/>
      <c r="E134" s="7"/>
      <c r="F134" s="7"/>
      <c r="G134" s="7"/>
    </row>
    <row r="135" spans="1:9" ht="15">
      <c r="A135" s="2" t="s">
        <v>315</v>
      </c>
      <c r="B135" s="12"/>
      <c r="C135" s="10"/>
      <c r="D135" s="11">
        <v>7</v>
      </c>
      <c r="E135" s="16"/>
      <c r="F135" s="16"/>
      <c r="G135" s="16"/>
    </row>
    <row r="137" spans="1:9" ht="15">
      <c r="A137" s="89" t="s">
        <v>405</v>
      </c>
      <c r="B137" s="90"/>
      <c r="C137" s="91"/>
      <c r="D137" s="11">
        <v>40</v>
      </c>
    </row>
    <row r="138" spans="1:9" ht="15">
      <c r="A138" s="12" t="str">
        <f>Referencias!B182</f>
        <v>Vidro 100 ml</v>
      </c>
      <c r="B138" s="12">
        <v>1</v>
      </c>
      <c r="C138" s="6">
        <f>Referencias!F182</f>
        <v>3.9</v>
      </c>
      <c r="D138" s="6">
        <f t="shared" ref="D138:D150" si="9">B138*C138</f>
        <v>3.9</v>
      </c>
    </row>
    <row r="139" spans="1:9" ht="15">
      <c r="A139" s="12" t="str">
        <f>Referencias!B183</f>
        <v>Vareta 18cm</v>
      </c>
      <c r="B139" s="13">
        <v>2</v>
      </c>
      <c r="C139" s="6">
        <f>Referencias!F183</f>
        <v>7.0000000000000007E-2</v>
      </c>
      <c r="D139" s="6">
        <f t="shared" si="9"/>
        <v>0.14000000000000001</v>
      </c>
    </row>
    <row r="140" spans="1:9" ht="15">
      <c r="A140" s="12" t="str">
        <f>Referencias!B184</f>
        <v>Vareta com Flor</v>
      </c>
      <c r="B140" s="13">
        <v>1</v>
      </c>
      <c r="C140" s="6">
        <f>Referencias!F184</f>
        <v>0.99</v>
      </c>
      <c r="D140" s="6">
        <f t="shared" si="9"/>
        <v>0.99</v>
      </c>
    </row>
    <row r="141" spans="1:9" ht="15">
      <c r="A141" s="12" t="str">
        <f>Referencias!B185</f>
        <v>Tampa Plastica</v>
      </c>
      <c r="B141" s="13">
        <v>1</v>
      </c>
      <c r="C141" s="6">
        <f>Referencias!F185</f>
        <v>0.92</v>
      </c>
      <c r="D141" s="6">
        <f t="shared" si="9"/>
        <v>0.92</v>
      </c>
    </row>
    <row r="142" spans="1:9" ht="15">
      <c r="A142" s="12" t="str">
        <f>Referencias!B186</f>
        <v>Alcool de Cereais</v>
      </c>
      <c r="B142" s="13">
        <v>8.4000000000000005E-2</v>
      </c>
      <c r="C142" s="6">
        <f>Referencias!F186</f>
        <v>9.16</v>
      </c>
      <c r="D142" s="6">
        <f t="shared" si="9"/>
        <v>0.76944000000000001</v>
      </c>
      <c r="H142" s="14"/>
      <c r="I142" s="14"/>
    </row>
    <row r="143" spans="1:9" ht="15">
      <c r="A143" s="12" t="str">
        <f>Referencias!B187</f>
        <v>Essencia</v>
      </c>
      <c r="B143" s="13">
        <f>24+4</f>
        <v>28</v>
      </c>
      <c r="C143" s="6">
        <f>Referencias!F187</f>
        <v>0.17</v>
      </c>
      <c r="D143" s="6">
        <f t="shared" si="9"/>
        <v>4.7600000000000007</v>
      </c>
      <c r="H143" s="14"/>
      <c r="I143" s="14"/>
    </row>
    <row r="144" spans="1:9" ht="15">
      <c r="A144" s="12" t="str">
        <f>Referencias!B188</f>
        <v>Agua Mineral</v>
      </c>
      <c r="B144" s="12">
        <v>1.2E-2</v>
      </c>
      <c r="C144" s="6">
        <f>Referencias!F188</f>
        <v>1.73</v>
      </c>
      <c r="D144" s="6">
        <f t="shared" si="9"/>
        <v>2.0760000000000001E-2</v>
      </c>
    </row>
    <row r="145" spans="1:7" ht="15">
      <c r="A145" s="12" t="str">
        <f>Referencias!B189</f>
        <v>Sal Grosso</v>
      </c>
      <c r="B145" s="12">
        <v>50</v>
      </c>
      <c r="C145" s="6">
        <f>Referencias!F189</f>
        <v>0</v>
      </c>
      <c r="D145" s="6">
        <f t="shared" si="9"/>
        <v>0</v>
      </c>
    </row>
    <row r="146" spans="1:7" ht="15">
      <c r="A146" s="12" t="str">
        <f>Referencias!B3</f>
        <v>Bolinha 6,5</v>
      </c>
      <c r="B146" s="12">
        <v>1</v>
      </c>
      <c r="C146" s="6">
        <f>Referencias!F3</f>
        <v>1.04</v>
      </c>
      <c r="D146" s="6">
        <f t="shared" si="9"/>
        <v>1.04</v>
      </c>
    </row>
    <row r="147" spans="1:7" ht="15">
      <c r="A147" s="12" t="str">
        <f>Referencias!B190</f>
        <v>Caixa com visor</v>
      </c>
      <c r="B147" s="12">
        <v>1</v>
      </c>
      <c r="C147" s="6">
        <f>Referencias!F190</f>
        <v>2.85</v>
      </c>
      <c r="D147" s="6">
        <f t="shared" si="9"/>
        <v>2.85</v>
      </c>
    </row>
    <row r="148" spans="1:7" ht="15">
      <c r="A148" s="12" t="str">
        <f>Referencias!B62</f>
        <v>Frete</v>
      </c>
      <c r="B148" s="12">
        <v>0</v>
      </c>
      <c r="C148" s="6">
        <f>Referencias!F62</f>
        <v>0</v>
      </c>
      <c r="D148" s="6">
        <f t="shared" si="9"/>
        <v>0</v>
      </c>
    </row>
    <row r="149" spans="1:7" ht="15">
      <c r="A149" s="12" t="str">
        <f>Referencias!B14</f>
        <v>Desgaste Bloquinho/Outros</v>
      </c>
      <c r="B149" s="12">
        <v>1</v>
      </c>
      <c r="C149" s="6">
        <f>Referencias!F14</f>
        <v>0.5</v>
      </c>
      <c r="D149" s="6">
        <f t="shared" si="9"/>
        <v>0.5</v>
      </c>
    </row>
    <row r="150" spans="1:7" ht="15">
      <c r="A150" s="12" t="str">
        <f>Referencias!B17</f>
        <v>Embalagem Padrão</v>
      </c>
      <c r="B150" s="13">
        <v>1</v>
      </c>
      <c r="C150" s="6">
        <f>Referencias!F17</f>
        <v>1.5</v>
      </c>
      <c r="D150" s="6">
        <f t="shared" si="9"/>
        <v>1.5</v>
      </c>
    </row>
    <row r="151" spans="1:7" ht="15">
      <c r="A151" s="2" t="s">
        <v>312</v>
      </c>
      <c r="B151" s="12"/>
      <c r="C151" s="6"/>
      <c r="D151" s="3">
        <f>SUM(D138:D150)</f>
        <v>17.3902</v>
      </c>
    </row>
    <row r="152" spans="1:7" ht="15">
      <c r="A152" s="2" t="s">
        <v>313</v>
      </c>
      <c r="B152" s="15">
        <v>0.55000000000000004</v>
      </c>
      <c r="C152" s="6">
        <f>D151*B152</f>
        <v>9.5646100000000001</v>
      </c>
      <c r="D152" s="3">
        <f>D151+C152</f>
        <v>26.954810000000002</v>
      </c>
      <c r="E152" s="92"/>
      <c r="F152" s="93"/>
      <c r="G152" s="93"/>
    </row>
    <row r="153" spans="1:7" ht="15">
      <c r="A153" s="2" t="s">
        <v>314</v>
      </c>
      <c r="B153" s="12"/>
      <c r="C153" s="10"/>
      <c r="D153" s="10"/>
      <c r="E153" s="7"/>
      <c r="F153" s="7"/>
      <c r="G153" s="7"/>
    </row>
    <row r="154" spans="1:7" ht="15">
      <c r="A154" s="2" t="s">
        <v>315</v>
      </c>
      <c r="B154" s="12"/>
      <c r="C154" s="10"/>
      <c r="D154" s="11">
        <v>40</v>
      </c>
      <c r="E154" s="16"/>
      <c r="F154" s="16"/>
      <c r="G154" s="16"/>
    </row>
    <row r="156" spans="1:7" ht="15">
      <c r="A156" s="89" t="s">
        <v>388</v>
      </c>
      <c r="B156" s="90"/>
      <c r="C156" s="91"/>
      <c r="D156" s="11">
        <v>120</v>
      </c>
    </row>
    <row r="157" spans="1:7" ht="15">
      <c r="A157" s="80" t="str">
        <f>Referencias!B65</f>
        <v>Papelão A4</v>
      </c>
      <c r="B157" s="12">
        <v>2</v>
      </c>
      <c r="C157" s="6">
        <f>Referencias!F65</f>
        <v>1.5</v>
      </c>
      <c r="D157" s="6">
        <f t="shared" ref="D157:D167" si="10">B157*C157</f>
        <v>3</v>
      </c>
    </row>
    <row r="158" spans="1:7" ht="15">
      <c r="A158" s="80" t="str">
        <f>Referencias!B53</f>
        <v>Papel fotografico A4</v>
      </c>
      <c r="B158" s="13">
        <v>2</v>
      </c>
      <c r="C158" s="6">
        <f>Referencias!F53</f>
        <v>0.8</v>
      </c>
      <c r="D158" s="6">
        <f t="shared" si="10"/>
        <v>1.6</v>
      </c>
    </row>
    <row r="159" spans="1:7" ht="15">
      <c r="A159" s="80" t="str">
        <f>Referencias!B31</f>
        <v>bopp</v>
      </c>
      <c r="B159" s="13">
        <v>0.6</v>
      </c>
      <c r="C159" s="6">
        <f>Referencias!F31</f>
        <v>0.45</v>
      </c>
      <c r="D159" s="6">
        <f t="shared" si="10"/>
        <v>0.27</v>
      </c>
    </row>
    <row r="160" spans="1:7" ht="15">
      <c r="A160" s="80" t="str">
        <f>Referencias!B66</f>
        <v>Papel guarda offset adesivo A4</v>
      </c>
      <c r="B160" s="13">
        <v>2</v>
      </c>
      <c r="C160" s="6">
        <f>Referencias!F66</f>
        <v>0.75</v>
      </c>
      <c r="D160" s="6">
        <f t="shared" si="10"/>
        <v>1.5</v>
      </c>
    </row>
    <row r="161" spans="1:9" ht="15">
      <c r="A161" s="80" t="str">
        <f>Referencias!B37</f>
        <v>miolo 180gr A4</v>
      </c>
      <c r="B161" s="13">
        <v>30</v>
      </c>
      <c r="C161" s="6">
        <f>Referencias!F37</f>
        <v>0.32</v>
      </c>
      <c r="D161" s="6">
        <f t="shared" si="10"/>
        <v>9.6</v>
      </c>
    </row>
    <row r="162" spans="1:9" ht="15">
      <c r="A162" s="80" t="str">
        <f>Referencias!B44</f>
        <v>miolo 90gr A4 dobrado no meio</v>
      </c>
      <c r="B162" s="13">
        <v>7</v>
      </c>
      <c r="C162" s="6">
        <f>Referencias!F44</f>
        <v>0.1</v>
      </c>
      <c r="D162" s="6">
        <f t="shared" si="10"/>
        <v>0.70000000000000007</v>
      </c>
    </row>
    <row r="163" spans="1:9" ht="15">
      <c r="A163" s="80" t="str">
        <f>Referencias!B9</f>
        <v>Fita cetim</v>
      </c>
      <c r="B163" s="13">
        <v>0.11799999999999999</v>
      </c>
      <c r="C163" s="6">
        <f>Referencias!F9</f>
        <v>0.13</v>
      </c>
      <c r="D163" s="6">
        <f t="shared" si="10"/>
        <v>1.5339999999999999E-2</v>
      </c>
    </row>
    <row r="164" spans="1:9" ht="15">
      <c r="A164" s="80" t="str">
        <f>Referencias!B10</f>
        <v>Ilhos</v>
      </c>
      <c r="B164" s="13">
        <v>10</v>
      </c>
      <c r="C164" s="6">
        <f>Referencias!F10</f>
        <v>0.05</v>
      </c>
      <c r="D164" s="6">
        <f t="shared" si="10"/>
        <v>0.5</v>
      </c>
      <c r="H164" s="14"/>
      <c r="I164" s="14"/>
    </row>
    <row r="165" spans="1:9" ht="15">
      <c r="A165" s="80" t="str">
        <f>Referencias!B22</f>
        <v>Impressao Capa A4</v>
      </c>
      <c r="B165" s="13">
        <v>69</v>
      </c>
      <c r="C165" s="6">
        <f>Referencias!F22</f>
        <v>0.5</v>
      </c>
      <c r="D165" s="6">
        <f t="shared" si="10"/>
        <v>34.5</v>
      </c>
      <c r="H165" s="14"/>
      <c r="I165" s="14"/>
    </row>
    <row r="166" spans="1:9" ht="15">
      <c r="A166" s="80" t="str">
        <f>Referencias!B16</f>
        <v>Desgaste Planner/Album/Caderno Universitario</v>
      </c>
      <c r="B166" s="12">
        <v>1</v>
      </c>
      <c r="C166" s="6">
        <f>Referencias!F16</f>
        <v>3</v>
      </c>
      <c r="D166" s="6">
        <f t="shared" si="10"/>
        <v>3</v>
      </c>
    </row>
    <row r="167" spans="1:9" ht="15">
      <c r="A167" s="80" t="str">
        <f>Referencias!B17</f>
        <v>Embalagem Padrão</v>
      </c>
      <c r="B167" s="12">
        <v>1</v>
      </c>
      <c r="C167" s="6">
        <f>Referencias!F17</f>
        <v>1.5</v>
      </c>
      <c r="D167" s="6">
        <f t="shared" si="10"/>
        <v>1.5</v>
      </c>
    </row>
    <row r="168" spans="1:9" ht="15">
      <c r="A168" s="2" t="s">
        <v>312</v>
      </c>
      <c r="B168" s="12"/>
      <c r="C168" s="6"/>
      <c r="D168" s="3">
        <f>SUM(D157:D166)</f>
        <v>54.685339999999997</v>
      </c>
    </row>
    <row r="169" spans="1:9" ht="15">
      <c r="A169" s="2" t="s">
        <v>313</v>
      </c>
      <c r="B169" s="15">
        <v>0.55000000000000004</v>
      </c>
      <c r="C169" s="6">
        <f>D168*B169</f>
        <v>30.076937000000001</v>
      </c>
      <c r="D169" s="3">
        <f>D168+C169</f>
        <v>84.762276999999997</v>
      </c>
      <c r="E169" s="92"/>
      <c r="F169" s="93"/>
      <c r="G169" s="93"/>
    </row>
    <row r="170" spans="1:9" ht="15">
      <c r="A170" s="2" t="s">
        <v>314</v>
      </c>
      <c r="B170" s="12"/>
      <c r="C170" s="10"/>
      <c r="D170" s="10"/>
      <c r="E170" s="7"/>
      <c r="F170" s="7"/>
      <c r="G170" s="7"/>
    </row>
    <row r="171" spans="1:9" ht="15">
      <c r="A171" s="2" t="s">
        <v>315</v>
      </c>
      <c r="B171" s="12"/>
      <c r="C171" s="10"/>
      <c r="D171" s="11">
        <v>120</v>
      </c>
      <c r="E171" s="16"/>
      <c r="F171" s="16"/>
      <c r="G171" s="16"/>
    </row>
  </sheetData>
  <mergeCells count="20">
    <mergeCell ref="A1:C1"/>
    <mergeCell ref="E14:G14"/>
    <mergeCell ref="A18:C18"/>
    <mergeCell ref="E31:G31"/>
    <mergeCell ref="A35:C35"/>
    <mergeCell ref="E49:G49"/>
    <mergeCell ref="A53:C53"/>
    <mergeCell ref="E117:G117"/>
    <mergeCell ref="E133:G133"/>
    <mergeCell ref="A137:C137"/>
    <mergeCell ref="E152:G152"/>
    <mergeCell ref="A156:C156"/>
    <mergeCell ref="E169:G169"/>
    <mergeCell ref="E66:G66"/>
    <mergeCell ref="A70:C70"/>
    <mergeCell ref="E82:G82"/>
    <mergeCell ref="A87:C87"/>
    <mergeCell ref="E100:G100"/>
    <mergeCell ref="A104:C104"/>
    <mergeCell ref="A121:C12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9900"/>
    <outlinePr summaryBelow="0" summaryRight="0"/>
  </sheetPr>
  <dimension ref="A1:G116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7" ht="15.75" customHeight="1">
      <c r="A1" s="89" t="s">
        <v>406</v>
      </c>
      <c r="B1" s="90"/>
      <c r="C1" s="91"/>
      <c r="D1" s="3">
        <v>15</v>
      </c>
    </row>
    <row r="2" spans="1:7" ht="15.75" customHeight="1">
      <c r="A2" s="12" t="str">
        <f>Referencias!B37</f>
        <v>miolo 180gr A4</v>
      </c>
      <c r="B2" s="13">
        <v>5</v>
      </c>
      <c r="C2" s="6">
        <f>Referencias!F37</f>
        <v>0.32</v>
      </c>
      <c r="D2" s="6">
        <f t="shared" ref="D2:D6" si="0">B2*C2</f>
        <v>1.6</v>
      </c>
    </row>
    <row r="3" spans="1:7" ht="15.75" customHeight="1">
      <c r="A3" s="12" t="str">
        <f>Referencias!B22</f>
        <v>Impressao Capa A4</v>
      </c>
      <c r="B3" s="13">
        <v>5</v>
      </c>
      <c r="C3" s="6">
        <f>Referencias!F22</f>
        <v>0.5</v>
      </c>
      <c r="D3" s="6">
        <f t="shared" si="0"/>
        <v>2.5</v>
      </c>
    </row>
    <row r="4" spans="1:7" ht="15.75" customHeight="1">
      <c r="A4" s="12" t="str">
        <f>Referencias!B62</f>
        <v>Frete</v>
      </c>
      <c r="B4" s="12"/>
      <c r="C4" s="6">
        <f>Referencias!F62</f>
        <v>0</v>
      </c>
      <c r="D4" s="6">
        <f t="shared" si="0"/>
        <v>0</v>
      </c>
    </row>
    <row r="5" spans="1:7" ht="15.75" customHeight="1">
      <c r="A5" s="12" t="str">
        <f>Referencias!B14</f>
        <v>Desgaste Bloquinho/Outros</v>
      </c>
      <c r="B5" s="13">
        <v>1</v>
      </c>
      <c r="C5" s="6">
        <f>Referencias!F14</f>
        <v>0.5</v>
      </c>
      <c r="D5" s="6">
        <f t="shared" si="0"/>
        <v>0.5</v>
      </c>
    </row>
    <row r="6" spans="1:7" ht="15.75" customHeight="1">
      <c r="A6" s="12" t="str">
        <f>Referencias!B17</f>
        <v>Embalagem Padrão</v>
      </c>
      <c r="B6" s="13">
        <v>1</v>
      </c>
      <c r="C6" s="6">
        <f>Referencias!F17</f>
        <v>1.5</v>
      </c>
      <c r="D6" s="6">
        <f t="shared" si="0"/>
        <v>1.5</v>
      </c>
    </row>
    <row r="7" spans="1:7" ht="15.75" customHeight="1">
      <c r="A7" s="2" t="s">
        <v>312</v>
      </c>
      <c r="B7" s="12"/>
      <c r="C7" s="10"/>
      <c r="D7" s="3">
        <f>SUM(D2:D6)</f>
        <v>6.1</v>
      </c>
      <c r="E7" s="92"/>
      <c r="F7" s="93"/>
      <c r="G7" s="93"/>
    </row>
    <row r="8" spans="1:7" ht="15.75" customHeight="1">
      <c r="A8" s="2" t="s">
        <v>313</v>
      </c>
      <c r="B8" s="15">
        <v>0.55000000000000004</v>
      </c>
      <c r="C8" s="6">
        <f>D7*B8</f>
        <v>3.355</v>
      </c>
      <c r="D8" s="3">
        <f>D7+C8</f>
        <v>9.4550000000000001</v>
      </c>
      <c r="E8" s="7"/>
      <c r="F8" s="7"/>
      <c r="G8" s="7"/>
    </row>
    <row r="9" spans="1:7" ht="15.75" customHeight="1">
      <c r="A9" s="2" t="s">
        <v>314</v>
      </c>
      <c r="B9" s="40"/>
      <c r="C9" s="36"/>
      <c r="D9" s="10"/>
      <c r="E9" s="16"/>
      <c r="F9" s="16"/>
      <c r="G9" s="16"/>
    </row>
    <row r="10" spans="1:7" ht="15.75" customHeight="1">
      <c r="A10" s="2" t="s">
        <v>315</v>
      </c>
      <c r="B10" s="37"/>
      <c r="C10" s="41"/>
      <c r="D10" s="3">
        <v>20</v>
      </c>
      <c r="E10" s="39"/>
      <c r="F10" s="39"/>
      <c r="G10" s="39"/>
    </row>
    <row r="12" spans="1:7" ht="15.75" customHeight="1">
      <c r="A12" s="89" t="s">
        <v>393</v>
      </c>
      <c r="B12" s="90"/>
      <c r="C12" s="91"/>
      <c r="D12" s="11">
        <v>5.5</v>
      </c>
    </row>
    <row r="13" spans="1:7" ht="15.75" customHeight="1">
      <c r="A13" s="12" t="str">
        <f>Referencias!B84</f>
        <v>Papel 180gr A4</v>
      </c>
      <c r="B13" s="13">
        <v>2</v>
      </c>
      <c r="C13" s="6">
        <f>Referencias!F84</f>
        <v>0.32</v>
      </c>
      <c r="D13" s="6">
        <f t="shared" ref="D13:D18" si="1">B13*C13</f>
        <v>0.64</v>
      </c>
    </row>
    <row r="14" spans="1:7" ht="15.75" customHeight="1">
      <c r="A14" s="12" t="str">
        <f>Referencias!B85</f>
        <v>Alça - Fio Nautico circulo branco</v>
      </c>
      <c r="B14" s="13">
        <v>0.52</v>
      </c>
      <c r="C14" s="6">
        <f>Referencias!F85</f>
        <v>0.14000000000000001</v>
      </c>
      <c r="D14" s="6">
        <f t="shared" si="1"/>
        <v>7.2800000000000004E-2</v>
      </c>
    </row>
    <row r="15" spans="1:7" ht="15.75" customHeight="1">
      <c r="A15" s="12" t="str">
        <f>Referencias!B83</f>
        <v>Impressão A4</v>
      </c>
      <c r="B15" s="13">
        <v>2</v>
      </c>
      <c r="C15" s="6">
        <f>Referencias!F83</f>
        <v>0.5</v>
      </c>
      <c r="D15" s="6">
        <f t="shared" si="1"/>
        <v>1</v>
      </c>
    </row>
    <row r="16" spans="1:7" ht="15.75" customHeight="1">
      <c r="A16" s="12" t="str">
        <f>Referencias!B62</f>
        <v>Frete</v>
      </c>
      <c r="B16" s="12"/>
      <c r="C16" s="6">
        <f>Referencias!F62</f>
        <v>0</v>
      </c>
      <c r="D16" s="6">
        <f t="shared" si="1"/>
        <v>0</v>
      </c>
    </row>
    <row r="17" spans="1:7" ht="15.75" customHeight="1">
      <c r="A17" s="12" t="str">
        <f>Referencias!B14</f>
        <v>Desgaste Bloquinho/Outros</v>
      </c>
      <c r="B17" s="13">
        <v>1</v>
      </c>
      <c r="C17" s="6">
        <f>Referencias!F14</f>
        <v>0.5</v>
      </c>
      <c r="D17" s="6">
        <f t="shared" si="1"/>
        <v>0.5</v>
      </c>
    </row>
    <row r="18" spans="1:7" ht="15.75" customHeight="1">
      <c r="A18" s="12" t="str">
        <f>Referencias!B17</f>
        <v>Embalagem Padrão</v>
      </c>
      <c r="B18" s="13">
        <v>1</v>
      </c>
      <c r="C18" s="6">
        <f>Referencias!F17</f>
        <v>1.5</v>
      </c>
      <c r="D18" s="6">
        <f t="shared" si="1"/>
        <v>1.5</v>
      </c>
    </row>
    <row r="19" spans="1:7" ht="15.75" customHeight="1">
      <c r="A19" s="2" t="s">
        <v>312</v>
      </c>
      <c r="B19" s="12"/>
      <c r="C19" s="10"/>
      <c r="D19" s="3">
        <f>SUM(D13:D18)</f>
        <v>3.7128000000000001</v>
      </c>
    </row>
    <row r="20" spans="1:7" ht="15.75" customHeight="1">
      <c r="A20" s="2" t="s">
        <v>313</v>
      </c>
      <c r="B20" s="15">
        <v>0.55000000000000004</v>
      </c>
      <c r="C20" s="6">
        <f>D19*B20</f>
        <v>2.0420400000000001</v>
      </c>
      <c r="D20" s="3">
        <f>D19+C20</f>
        <v>5.7548399999999997</v>
      </c>
      <c r="E20" s="92"/>
      <c r="F20" s="93"/>
      <c r="G20" s="93"/>
    </row>
    <row r="21" spans="1:7" ht="15.75" customHeight="1">
      <c r="A21" s="2" t="s">
        <v>314</v>
      </c>
      <c r="B21" s="40"/>
      <c r="C21" s="36"/>
      <c r="D21" s="10"/>
      <c r="E21" s="7"/>
      <c r="F21" s="7"/>
      <c r="G21" s="7"/>
    </row>
    <row r="22" spans="1:7" ht="15.75" customHeight="1">
      <c r="A22" s="2" t="s">
        <v>315</v>
      </c>
      <c r="B22" s="37"/>
      <c r="C22" s="41"/>
      <c r="D22" s="11">
        <v>6</v>
      </c>
      <c r="E22" s="16"/>
      <c r="F22" s="16"/>
      <c r="G22" s="16"/>
    </row>
    <row r="24" spans="1:7" ht="15.75" customHeight="1">
      <c r="A24" s="89" t="s">
        <v>407</v>
      </c>
      <c r="B24" s="90"/>
      <c r="C24" s="91"/>
      <c r="D24" s="11">
        <v>6.5</v>
      </c>
    </row>
    <row r="25" spans="1:7" ht="15.75" customHeight="1">
      <c r="A25" s="12" t="str">
        <f>Referencias!B84</f>
        <v>Papel 180gr A4</v>
      </c>
      <c r="B25" s="13">
        <v>3</v>
      </c>
      <c r="C25" s="6">
        <f>Referencias!F84</f>
        <v>0.32</v>
      </c>
      <c r="D25" s="6">
        <f t="shared" ref="D25:D30" si="2">B25*C25</f>
        <v>0.96</v>
      </c>
    </row>
    <row r="26" spans="1:7" ht="15.75" customHeight="1">
      <c r="A26" s="12" t="str">
        <f>Referencias!B85</f>
        <v>Alça - Fio Nautico circulo branco</v>
      </c>
      <c r="B26" s="13">
        <v>0.64</v>
      </c>
      <c r="C26" s="6">
        <f>Referencias!F85</f>
        <v>0.14000000000000001</v>
      </c>
      <c r="D26" s="6">
        <f t="shared" si="2"/>
        <v>8.9600000000000013E-2</v>
      </c>
    </row>
    <row r="27" spans="1:7" ht="15.75" customHeight="1">
      <c r="A27" s="12" t="str">
        <f>Referencias!B83</f>
        <v>Impressão A4</v>
      </c>
      <c r="B27" s="13">
        <v>3</v>
      </c>
      <c r="C27" s="6">
        <f>Referencias!F83</f>
        <v>0.5</v>
      </c>
      <c r="D27" s="6">
        <f t="shared" si="2"/>
        <v>1.5</v>
      </c>
    </row>
    <row r="28" spans="1:7" ht="15.75" customHeight="1">
      <c r="A28" s="12" t="str">
        <f>Referencias!B62</f>
        <v>Frete</v>
      </c>
      <c r="B28" s="13">
        <v>0</v>
      </c>
      <c r="C28" s="6">
        <f>Referencias!F62</f>
        <v>0</v>
      </c>
      <c r="D28" s="6">
        <f t="shared" si="2"/>
        <v>0</v>
      </c>
    </row>
    <row r="29" spans="1:7" ht="15.75" customHeight="1">
      <c r="A29" s="12" t="str">
        <f>Referencias!B14</f>
        <v>Desgaste Bloquinho/Outros</v>
      </c>
      <c r="B29" s="12">
        <v>1</v>
      </c>
      <c r="C29" s="6">
        <f>Referencias!F14</f>
        <v>0.5</v>
      </c>
      <c r="D29" s="6">
        <f t="shared" si="2"/>
        <v>0.5</v>
      </c>
    </row>
    <row r="30" spans="1:7" ht="15.75" customHeight="1">
      <c r="A30" s="12" t="str">
        <f>Referencias!B17</f>
        <v>Embalagem Padrão</v>
      </c>
      <c r="B30" s="13">
        <v>1</v>
      </c>
      <c r="C30" s="6">
        <f>Referencias!F17</f>
        <v>1.5</v>
      </c>
      <c r="D30" s="6">
        <f t="shared" si="2"/>
        <v>1.5</v>
      </c>
    </row>
    <row r="31" spans="1:7" ht="15.75" customHeight="1">
      <c r="A31" s="2" t="s">
        <v>312</v>
      </c>
      <c r="B31" s="12"/>
      <c r="C31" s="6"/>
      <c r="D31" s="3">
        <f>SUM(D25:D30)</f>
        <v>4.5495999999999999</v>
      </c>
    </row>
    <row r="32" spans="1:7" ht="15.75" customHeight="1">
      <c r="A32" s="2" t="s">
        <v>313</v>
      </c>
      <c r="B32" s="15">
        <v>0.55000000000000004</v>
      </c>
      <c r="C32" s="6">
        <f>D31*B32</f>
        <v>2.5022800000000003</v>
      </c>
      <c r="D32" s="3">
        <f>D31+C32</f>
        <v>7.0518800000000006</v>
      </c>
      <c r="E32" s="92"/>
      <c r="F32" s="93"/>
      <c r="G32" s="93"/>
    </row>
    <row r="33" spans="1:7" ht="15.75" customHeight="1">
      <c r="A33" s="2" t="s">
        <v>314</v>
      </c>
      <c r="B33" s="12"/>
      <c r="C33" s="10"/>
      <c r="D33" s="10"/>
      <c r="E33" s="7"/>
      <c r="F33" s="7"/>
      <c r="G33" s="7"/>
    </row>
    <row r="34" spans="1:7" ht="15.75" customHeight="1">
      <c r="A34" s="2" t="s">
        <v>315</v>
      </c>
      <c r="B34" s="12"/>
      <c r="C34" s="10"/>
      <c r="D34" s="11">
        <v>7.5</v>
      </c>
      <c r="E34" s="16"/>
      <c r="F34" s="16"/>
      <c r="G34" s="16"/>
    </row>
    <row r="36" spans="1:7" ht="15.75" customHeight="1">
      <c r="A36" s="89" t="s">
        <v>408</v>
      </c>
      <c r="B36" s="90"/>
      <c r="C36" s="91"/>
      <c r="D36" s="11">
        <v>4</v>
      </c>
    </row>
    <row r="37" spans="1:7" ht="15">
      <c r="A37" s="12" t="str">
        <f>Referencias!B100</f>
        <v>Papel 180gr A6</v>
      </c>
      <c r="B37" s="13">
        <v>1</v>
      </c>
      <c r="C37" s="6">
        <f>Referencias!F100</f>
        <v>0.08</v>
      </c>
      <c r="D37" s="6">
        <f t="shared" ref="D37:D43" si="3">B37*C37</f>
        <v>0.08</v>
      </c>
    </row>
    <row r="38" spans="1:7" ht="15">
      <c r="A38" s="12" t="str">
        <f>Referencias!B114</f>
        <v>Sonho de Valsa 15g</v>
      </c>
      <c r="B38" s="13">
        <v>1</v>
      </c>
      <c r="C38" s="6">
        <f>Referencias!F114</f>
        <v>1.17</v>
      </c>
      <c r="D38" s="6">
        <f t="shared" si="3"/>
        <v>1.17</v>
      </c>
    </row>
    <row r="39" spans="1:7" ht="15">
      <c r="A39" s="12" t="str">
        <f>Referencias!B24</f>
        <v>Impressao Capa A6</v>
      </c>
      <c r="B39" s="13">
        <v>1</v>
      </c>
      <c r="C39" s="6">
        <f>Referencias!F24</f>
        <v>0.13</v>
      </c>
      <c r="D39" s="6">
        <f t="shared" si="3"/>
        <v>0.13</v>
      </c>
    </row>
    <row r="40" spans="1:7" ht="15">
      <c r="A40" s="12" t="str">
        <f>Referencias!B9</f>
        <v>Fita cetim</v>
      </c>
      <c r="B40" s="12">
        <v>0.15</v>
      </c>
      <c r="C40" s="6">
        <f>Referencias!F9</f>
        <v>0.13</v>
      </c>
      <c r="D40" s="6">
        <f t="shared" si="3"/>
        <v>1.95E-2</v>
      </c>
    </row>
    <row r="41" spans="1:7" ht="15">
      <c r="A41" s="12" t="str">
        <f>Referencias!B62</f>
        <v>Frete</v>
      </c>
      <c r="B41" s="12"/>
      <c r="C41" s="6">
        <f>Referencias!F62</f>
        <v>0</v>
      </c>
      <c r="D41" s="6">
        <f t="shared" si="3"/>
        <v>0</v>
      </c>
    </row>
    <row r="42" spans="1:7" ht="15">
      <c r="A42" s="12" t="str">
        <f>Referencias!B14</f>
        <v>Desgaste Bloquinho/Outros</v>
      </c>
      <c r="B42" s="13">
        <v>1</v>
      </c>
      <c r="C42" s="6">
        <f>Referencias!F14</f>
        <v>0.5</v>
      </c>
      <c r="D42" s="6">
        <f t="shared" si="3"/>
        <v>0.5</v>
      </c>
    </row>
    <row r="43" spans="1:7" ht="15">
      <c r="A43" s="12" t="str">
        <f>Referencias!B107</f>
        <v>Embalagem Atacado</v>
      </c>
      <c r="B43" s="13">
        <v>1</v>
      </c>
      <c r="C43" s="6">
        <f>Referencias!F107</f>
        <v>0.5</v>
      </c>
      <c r="D43" s="6">
        <f t="shared" si="3"/>
        <v>0.5</v>
      </c>
    </row>
    <row r="44" spans="1:7" ht="15">
      <c r="A44" s="2" t="s">
        <v>312</v>
      </c>
      <c r="B44" s="12"/>
      <c r="C44" s="6"/>
      <c r="D44" s="3">
        <f>SUM(D37:D43)</f>
        <v>2.3994999999999997</v>
      </c>
    </row>
    <row r="45" spans="1:7" ht="15">
      <c r="A45" s="2" t="s">
        <v>313</v>
      </c>
      <c r="B45" s="15">
        <v>0.55000000000000004</v>
      </c>
      <c r="C45" s="6">
        <f>D44*B45</f>
        <v>1.319725</v>
      </c>
      <c r="D45" s="3">
        <f>D44+C45</f>
        <v>3.7192249999999998</v>
      </c>
      <c r="E45" s="92"/>
      <c r="F45" s="93"/>
      <c r="G45" s="93"/>
    </row>
    <row r="46" spans="1:7" ht="15">
      <c r="A46" s="2" t="s">
        <v>314</v>
      </c>
      <c r="B46" s="12"/>
      <c r="C46" s="10"/>
      <c r="D46" s="10"/>
      <c r="E46" s="7"/>
      <c r="F46" s="7"/>
      <c r="G46" s="7"/>
    </row>
    <row r="47" spans="1:7" ht="15">
      <c r="A47" s="2" t="s">
        <v>315</v>
      </c>
      <c r="B47" s="12"/>
      <c r="C47" s="10"/>
      <c r="D47" s="11">
        <v>4</v>
      </c>
      <c r="E47" s="16"/>
      <c r="F47" s="16"/>
      <c r="G47" s="16"/>
    </row>
    <row r="49" spans="1:7" ht="15">
      <c r="A49" s="89" t="s">
        <v>409</v>
      </c>
      <c r="B49" s="90"/>
      <c r="C49" s="91"/>
      <c r="D49" s="11">
        <v>27</v>
      </c>
    </row>
    <row r="50" spans="1:7" ht="15">
      <c r="A50" s="12" t="str">
        <f>Referencias!B100</f>
        <v>Papel 180gr A6</v>
      </c>
      <c r="B50" s="13">
        <v>10</v>
      </c>
      <c r="C50" s="6">
        <f>Referencias!F100</f>
        <v>0.08</v>
      </c>
      <c r="D50" s="6">
        <f t="shared" ref="D50:D56" si="4">B50*C50</f>
        <v>0.8</v>
      </c>
    </row>
    <row r="51" spans="1:7" ht="15">
      <c r="A51" s="12" t="str">
        <f>Referencias!B114</f>
        <v>Sonho de Valsa 15g</v>
      </c>
      <c r="B51" s="13">
        <v>10</v>
      </c>
      <c r="C51" s="6">
        <f>Referencias!F114</f>
        <v>1.17</v>
      </c>
      <c r="D51" s="6">
        <f t="shared" si="4"/>
        <v>11.7</v>
      </c>
    </row>
    <row r="52" spans="1:7" ht="15">
      <c r="A52" s="12" t="str">
        <f>Referencias!B24</f>
        <v>Impressao Capa A6</v>
      </c>
      <c r="B52" s="13">
        <v>10</v>
      </c>
      <c r="C52" s="6">
        <f>Referencias!F24</f>
        <v>0.13</v>
      </c>
      <c r="D52" s="6">
        <f t="shared" si="4"/>
        <v>1.3</v>
      </c>
    </row>
    <row r="53" spans="1:7" ht="15">
      <c r="A53" s="12" t="str">
        <f>Referencias!B9</f>
        <v>Fita cetim</v>
      </c>
      <c r="B53" s="12">
        <f>0.15*10</f>
        <v>1.5</v>
      </c>
      <c r="C53" s="6">
        <f>Referencias!F9</f>
        <v>0.13</v>
      </c>
      <c r="D53" s="6">
        <f t="shared" si="4"/>
        <v>0.19500000000000001</v>
      </c>
    </row>
    <row r="54" spans="1:7" ht="15">
      <c r="A54" s="12" t="str">
        <f>Referencias!B62</f>
        <v>Frete</v>
      </c>
      <c r="B54" s="12"/>
      <c r="C54" s="6">
        <f>Referencias!F62</f>
        <v>0</v>
      </c>
      <c r="D54" s="6">
        <f t="shared" si="4"/>
        <v>0</v>
      </c>
    </row>
    <row r="55" spans="1:7" ht="15">
      <c r="A55" s="12" t="str">
        <f>Referencias!B14</f>
        <v>Desgaste Bloquinho/Outros</v>
      </c>
      <c r="B55" s="13">
        <v>1</v>
      </c>
      <c r="C55" s="6">
        <f>Referencias!F14</f>
        <v>0.5</v>
      </c>
      <c r="D55" s="6">
        <f t="shared" si="4"/>
        <v>0.5</v>
      </c>
    </row>
    <row r="56" spans="1:7" ht="15">
      <c r="A56" s="12" t="str">
        <f>Referencias!B17</f>
        <v>Embalagem Padrão</v>
      </c>
      <c r="B56" s="13">
        <v>1</v>
      </c>
      <c r="C56" s="6">
        <f>Referencias!F17</f>
        <v>1.5</v>
      </c>
      <c r="D56" s="6">
        <f t="shared" si="4"/>
        <v>1.5</v>
      </c>
    </row>
    <row r="57" spans="1:7" ht="15">
      <c r="A57" s="2" t="s">
        <v>312</v>
      </c>
      <c r="B57" s="12"/>
      <c r="C57" s="6"/>
      <c r="D57" s="3">
        <f>SUM(D50:D56)</f>
        <v>15.995000000000001</v>
      </c>
    </row>
    <row r="58" spans="1:7" ht="15">
      <c r="A58" s="2" t="s">
        <v>313</v>
      </c>
      <c r="B58" s="15">
        <v>0.55000000000000004</v>
      </c>
      <c r="C58" s="6">
        <f>D57*B58</f>
        <v>8.7972500000000018</v>
      </c>
      <c r="D58" s="3">
        <f>D57+C58</f>
        <v>24.792250000000003</v>
      </c>
      <c r="E58" s="92"/>
      <c r="F58" s="93"/>
      <c r="G58" s="93"/>
    </row>
    <row r="59" spans="1:7" ht="15">
      <c r="A59" s="2" t="s">
        <v>314</v>
      </c>
      <c r="B59" s="12"/>
      <c r="C59" s="10"/>
      <c r="D59" s="10"/>
      <c r="E59" s="7"/>
      <c r="F59" s="7"/>
      <c r="G59" s="7"/>
    </row>
    <row r="60" spans="1:7" ht="15">
      <c r="A60" s="2" t="s">
        <v>315</v>
      </c>
      <c r="B60" s="12"/>
      <c r="C60" s="10"/>
      <c r="D60" s="11">
        <v>27</v>
      </c>
      <c r="E60" s="16"/>
      <c r="F60" s="16"/>
      <c r="G60" s="16"/>
    </row>
    <row r="62" spans="1:7" ht="15">
      <c r="A62" s="89" t="s">
        <v>410</v>
      </c>
      <c r="B62" s="90"/>
      <c r="C62" s="91"/>
      <c r="D62" s="11"/>
    </row>
    <row r="63" spans="1:7" ht="15">
      <c r="A63" s="12" t="str">
        <f>Referencias!B38</f>
        <v>Papel 240g A4</v>
      </c>
      <c r="B63" s="13">
        <v>3</v>
      </c>
      <c r="C63" s="6">
        <f>Referencias!F38</f>
        <v>0.42</v>
      </c>
      <c r="D63" s="6">
        <f t="shared" ref="D63:D71" si="5">B63*C63</f>
        <v>1.26</v>
      </c>
    </row>
    <row r="64" spans="1:7" ht="15">
      <c r="A64" s="12" t="str">
        <f>Referencias!B45</f>
        <v>miolo 90gr A5</v>
      </c>
      <c r="B64" s="13">
        <v>10</v>
      </c>
      <c r="C64" s="6">
        <f>Referencias!F45</f>
        <v>0.05</v>
      </c>
      <c r="D64" s="6">
        <f t="shared" si="5"/>
        <v>0.5</v>
      </c>
    </row>
    <row r="65" spans="1:5" ht="15">
      <c r="A65" s="12" t="str">
        <f>Referencias!B156</f>
        <v>Lápis de Cor 12 cores meio lápis redondo HT 11.1702 Happy-time</v>
      </c>
      <c r="B65" s="12">
        <v>1</v>
      </c>
      <c r="C65" s="6">
        <f>Referencias!F156</f>
        <v>3.3</v>
      </c>
      <c r="D65" s="6">
        <f t="shared" si="5"/>
        <v>3.3</v>
      </c>
    </row>
    <row r="66" spans="1:5" ht="15">
      <c r="A66" s="12" t="str">
        <f>Referencias!B157</f>
        <v>Elastico roliço</v>
      </c>
      <c r="B66" s="12">
        <v>0.3</v>
      </c>
      <c r="C66" s="6">
        <f>Referencias!F25</f>
        <v>0.25</v>
      </c>
      <c r="D66" s="6">
        <f t="shared" si="5"/>
        <v>7.4999999999999997E-2</v>
      </c>
    </row>
    <row r="67" spans="1:5" ht="15">
      <c r="A67" s="12" t="str">
        <f>Referencias!B10</f>
        <v>Ilhos</v>
      </c>
      <c r="B67" s="12">
        <v>4</v>
      </c>
      <c r="C67" s="6">
        <f>Referencias!F10</f>
        <v>0.05</v>
      </c>
      <c r="D67" s="6">
        <f t="shared" si="5"/>
        <v>0.2</v>
      </c>
    </row>
    <row r="68" spans="1:5" ht="15">
      <c r="A68" s="12" t="str">
        <f>Referencias!B26</f>
        <v>Impressao Miolo Frente A5</v>
      </c>
      <c r="B68" s="12">
        <v>10</v>
      </c>
      <c r="C68" s="6">
        <f>Referencias!F26</f>
        <v>0.03</v>
      </c>
      <c r="D68" s="6">
        <f t="shared" si="5"/>
        <v>0.3</v>
      </c>
    </row>
    <row r="69" spans="1:5" ht="15">
      <c r="A69" s="12" t="str">
        <f>Referencias!B22</f>
        <v>Impressao Capa A4</v>
      </c>
      <c r="B69" s="13">
        <v>3</v>
      </c>
      <c r="C69" s="6">
        <f>Referencias!F22</f>
        <v>0.5</v>
      </c>
      <c r="D69" s="6">
        <f t="shared" si="5"/>
        <v>1.5</v>
      </c>
    </row>
    <row r="70" spans="1:5" ht="15">
      <c r="A70" s="12" t="str">
        <f>Referencias!B14</f>
        <v>Desgaste Bloquinho/Outros</v>
      </c>
      <c r="B70" s="13">
        <v>1</v>
      </c>
      <c r="C70" s="6">
        <f>Referencias!F14</f>
        <v>0.5</v>
      </c>
      <c r="D70" s="6">
        <f t="shared" si="5"/>
        <v>0.5</v>
      </c>
    </row>
    <row r="71" spans="1:5" ht="15">
      <c r="A71" s="12" t="str">
        <f>Referencias!B17</f>
        <v>Embalagem Padrão</v>
      </c>
      <c r="B71" s="13">
        <v>1</v>
      </c>
      <c r="C71" s="6">
        <f>Referencias!F17</f>
        <v>1.5</v>
      </c>
      <c r="D71" s="6">
        <f t="shared" si="5"/>
        <v>1.5</v>
      </c>
    </row>
    <row r="72" spans="1:5" ht="15">
      <c r="A72" s="2" t="s">
        <v>312</v>
      </c>
      <c r="B72" s="12"/>
      <c r="C72" s="6"/>
      <c r="D72" s="3">
        <f>SUM(D63:D71)</f>
        <v>9.1349999999999998</v>
      </c>
    </row>
    <row r="73" spans="1:5" ht="15">
      <c r="A73" s="2" t="s">
        <v>313</v>
      </c>
      <c r="B73" s="15">
        <v>0.55000000000000004</v>
      </c>
      <c r="C73" s="6">
        <f>D72*B73</f>
        <v>5.0242500000000003</v>
      </c>
      <c r="D73" s="3">
        <f>D72+C73</f>
        <v>14.15925</v>
      </c>
    </row>
    <row r="74" spans="1:5" ht="15">
      <c r="A74" s="2" t="s">
        <v>314</v>
      </c>
      <c r="B74" s="12"/>
      <c r="C74" s="10"/>
      <c r="D74" s="10"/>
    </row>
    <row r="75" spans="1:5" ht="15">
      <c r="A75" s="2" t="s">
        <v>315</v>
      </c>
      <c r="B75" s="12"/>
      <c r="C75" s="10"/>
      <c r="D75" s="11">
        <v>15</v>
      </c>
    </row>
    <row r="77" spans="1:5" ht="15">
      <c r="A77" s="89" t="s">
        <v>411</v>
      </c>
      <c r="B77" s="90"/>
      <c r="C77" s="91"/>
      <c r="D77" s="11">
        <v>30</v>
      </c>
      <c r="E77" s="14"/>
    </row>
    <row r="78" spans="1:5" ht="15">
      <c r="A78" s="12" t="str">
        <f>Referencias!B38</f>
        <v>Papel 240g A4</v>
      </c>
      <c r="B78" s="13">
        <v>6</v>
      </c>
      <c r="C78" s="6">
        <f>Referencias!F38</f>
        <v>0.42</v>
      </c>
      <c r="D78" s="6">
        <f t="shared" ref="D78:D84" si="6">B78*C78</f>
        <v>2.52</v>
      </c>
    </row>
    <row r="79" spans="1:5" ht="15">
      <c r="A79" s="12" t="str">
        <f>Referencias!B9</f>
        <v>Fita cetim</v>
      </c>
      <c r="B79" s="13">
        <v>0.6</v>
      </c>
      <c r="C79" s="6">
        <f>Referencias!F9</f>
        <v>0.13</v>
      </c>
      <c r="D79" s="6">
        <f t="shared" si="6"/>
        <v>7.8E-2</v>
      </c>
    </row>
    <row r="80" spans="1:5" ht="15">
      <c r="A80" s="12" t="str">
        <f>Referencias!B22</f>
        <v>Impressao Capa A4</v>
      </c>
      <c r="B80" s="13">
        <v>8</v>
      </c>
      <c r="C80" s="6">
        <f>Referencias!F22</f>
        <v>0.5</v>
      </c>
      <c r="D80" s="6">
        <f t="shared" si="6"/>
        <v>4</v>
      </c>
    </row>
    <row r="81" spans="1:7" ht="15">
      <c r="A81" s="12" t="str">
        <f>Referencias!B114</f>
        <v>Sonho de Valsa 15g</v>
      </c>
      <c r="B81" s="12"/>
      <c r="C81" s="6">
        <f>Referencias!F114</f>
        <v>1.17</v>
      </c>
      <c r="D81" s="6">
        <f t="shared" si="6"/>
        <v>0</v>
      </c>
    </row>
    <row r="82" spans="1:7" ht="15">
      <c r="A82" s="12" t="str">
        <f>Referencias!B62</f>
        <v>Frete</v>
      </c>
      <c r="B82" s="12"/>
      <c r="C82" s="6">
        <f>Referencias!F62</f>
        <v>0</v>
      </c>
      <c r="D82" s="6">
        <f t="shared" si="6"/>
        <v>0</v>
      </c>
    </row>
    <row r="83" spans="1:7" ht="15">
      <c r="A83" s="12" t="str">
        <f>Referencias!B14</f>
        <v>Desgaste Bloquinho/Outros</v>
      </c>
      <c r="B83" s="13">
        <v>1</v>
      </c>
      <c r="C83" s="6">
        <f>Referencias!F14</f>
        <v>0.5</v>
      </c>
      <c r="D83" s="6">
        <f t="shared" si="6"/>
        <v>0.5</v>
      </c>
    </row>
    <row r="84" spans="1:7" ht="15">
      <c r="A84" s="12" t="str">
        <f>Referencias!B17</f>
        <v>Embalagem Padrão</v>
      </c>
      <c r="B84" s="13">
        <v>1</v>
      </c>
      <c r="C84" s="6">
        <f>Referencias!F17</f>
        <v>1.5</v>
      </c>
      <c r="D84" s="6">
        <f t="shared" si="6"/>
        <v>1.5</v>
      </c>
    </row>
    <row r="85" spans="1:7" ht="15">
      <c r="A85" s="2" t="s">
        <v>312</v>
      </c>
      <c r="B85" s="12"/>
      <c r="C85" s="10"/>
      <c r="D85" s="3">
        <f>SUM(D78:D84)</f>
        <v>8.597999999999999</v>
      </c>
    </row>
    <row r="86" spans="1:7" ht="15">
      <c r="A86" s="2" t="s">
        <v>313</v>
      </c>
      <c r="B86" s="15">
        <v>0.55000000000000004</v>
      </c>
      <c r="C86" s="6">
        <f>D85*B86</f>
        <v>4.7288999999999994</v>
      </c>
      <c r="D86" s="3">
        <f>D85+C86</f>
        <v>13.326899999999998</v>
      </c>
      <c r="E86" s="92"/>
      <c r="F86" s="93"/>
      <c r="G86" s="93"/>
    </row>
    <row r="87" spans="1:7" ht="15">
      <c r="A87" s="2" t="s">
        <v>314</v>
      </c>
      <c r="B87" s="40"/>
      <c r="C87" s="36"/>
      <c r="D87" s="10"/>
      <c r="E87" s="7"/>
      <c r="F87" s="7"/>
      <c r="G87" s="7"/>
    </row>
    <row r="88" spans="1:7" ht="15">
      <c r="A88" s="2" t="s">
        <v>315</v>
      </c>
      <c r="B88" s="37"/>
      <c r="C88" s="36"/>
      <c r="D88" s="11">
        <v>35</v>
      </c>
      <c r="E88" s="16"/>
      <c r="F88" s="16"/>
      <c r="G88" s="16"/>
    </row>
    <row r="90" spans="1:7" ht="15">
      <c r="A90" s="89" t="s">
        <v>412</v>
      </c>
      <c r="B90" s="90"/>
      <c r="C90" s="91"/>
      <c r="D90" s="11">
        <v>7</v>
      </c>
    </row>
    <row r="91" spans="1:7" ht="15">
      <c r="A91" s="12" t="str">
        <f>Referencias!B158</f>
        <v>Caneta decorada</v>
      </c>
      <c r="B91" s="13">
        <v>1</v>
      </c>
      <c r="C91" s="6">
        <f>Referencias!F158</f>
        <v>1.75</v>
      </c>
      <c r="D91" s="6">
        <f t="shared" ref="D91:D93" si="7">B91*C91</f>
        <v>1.75</v>
      </c>
    </row>
    <row r="92" spans="1:7" ht="15">
      <c r="A92" s="12" t="str">
        <f>Referencias!B62</f>
        <v>Frete</v>
      </c>
      <c r="B92" s="12"/>
      <c r="C92" s="6">
        <f>Referencias!F62</f>
        <v>0</v>
      </c>
      <c r="D92" s="6">
        <f t="shared" si="7"/>
        <v>0</v>
      </c>
    </row>
    <row r="93" spans="1:7" ht="15">
      <c r="A93" s="12" t="str">
        <f>Referencias!B17</f>
        <v>Embalagem Padrão</v>
      </c>
      <c r="B93" s="13">
        <v>1</v>
      </c>
      <c r="C93" s="6">
        <f>Referencias!F17</f>
        <v>1.5</v>
      </c>
      <c r="D93" s="6">
        <f t="shared" si="7"/>
        <v>1.5</v>
      </c>
    </row>
    <row r="94" spans="1:7" ht="15">
      <c r="A94" s="2" t="s">
        <v>312</v>
      </c>
      <c r="B94" s="12"/>
      <c r="C94" s="10"/>
      <c r="D94" s="3">
        <f>SUM(D91:D93)</f>
        <v>3.25</v>
      </c>
    </row>
    <row r="95" spans="1:7" ht="15">
      <c r="A95" s="2" t="s">
        <v>313</v>
      </c>
      <c r="B95" s="15">
        <v>0.55000000000000004</v>
      </c>
      <c r="C95" s="6">
        <f>D94*B95</f>
        <v>1.7875000000000001</v>
      </c>
      <c r="D95" s="3">
        <f>D94+C95</f>
        <v>5.0374999999999996</v>
      </c>
      <c r="E95" s="92"/>
      <c r="F95" s="93"/>
      <c r="G95" s="93"/>
    </row>
    <row r="96" spans="1:7" ht="15">
      <c r="A96" s="2" t="s">
        <v>314</v>
      </c>
      <c r="B96" s="40"/>
      <c r="C96" s="36"/>
      <c r="D96" s="10"/>
      <c r="E96" s="7"/>
      <c r="F96" s="7"/>
      <c r="G96" s="7"/>
    </row>
    <row r="97" spans="1:7" ht="15">
      <c r="A97" s="2" t="s">
        <v>315</v>
      </c>
      <c r="B97" s="37"/>
      <c r="C97" s="36"/>
      <c r="D97" s="11">
        <v>7</v>
      </c>
      <c r="E97" s="16"/>
      <c r="F97" s="16"/>
      <c r="G97" s="16"/>
    </row>
    <row r="99" spans="1:7" ht="15">
      <c r="A99" s="89" t="s">
        <v>205</v>
      </c>
      <c r="B99" s="90"/>
      <c r="C99" s="91"/>
      <c r="D99" s="11">
        <v>15</v>
      </c>
    </row>
    <row r="100" spans="1:7" ht="15">
      <c r="A100" s="12" t="str">
        <f>Referencias!B159</f>
        <v>Lapis infinito</v>
      </c>
      <c r="B100" s="13">
        <v>1</v>
      </c>
      <c r="C100" s="6">
        <f>Referencias!F159</f>
        <v>2.95</v>
      </c>
      <c r="D100" s="6">
        <f t="shared" ref="D100:D102" si="8">B100*C100</f>
        <v>2.95</v>
      </c>
    </row>
    <row r="101" spans="1:7" ht="15">
      <c r="A101" s="12" t="str">
        <f>Referencias!B62</f>
        <v>Frete</v>
      </c>
      <c r="B101" s="12"/>
      <c r="C101" s="6">
        <f>Referencias!F62</f>
        <v>0</v>
      </c>
      <c r="D101" s="6">
        <f t="shared" si="8"/>
        <v>0</v>
      </c>
    </row>
    <row r="102" spans="1:7" ht="15">
      <c r="A102" s="12" t="str">
        <f>Referencias!B17</f>
        <v>Embalagem Padrão</v>
      </c>
      <c r="B102" s="13">
        <v>1</v>
      </c>
      <c r="C102" s="6">
        <f>Referencias!F17</f>
        <v>1.5</v>
      </c>
      <c r="D102" s="6">
        <f t="shared" si="8"/>
        <v>1.5</v>
      </c>
    </row>
    <row r="103" spans="1:7" ht="15">
      <c r="A103" s="2" t="s">
        <v>312</v>
      </c>
      <c r="B103" s="12"/>
      <c r="C103" s="10"/>
      <c r="D103" s="3">
        <f>SUM(D100:D102)</f>
        <v>4.45</v>
      </c>
    </row>
    <row r="104" spans="1:7" ht="15">
      <c r="A104" s="2" t="s">
        <v>313</v>
      </c>
      <c r="B104" s="15">
        <v>0.55000000000000004</v>
      </c>
      <c r="C104" s="6">
        <f>D103*B104</f>
        <v>2.4475000000000002</v>
      </c>
      <c r="D104" s="3">
        <f>D103+C104</f>
        <v>6.8975000000000009</v>
      </c>
      <c r="E104" s="92"/>
      <c r="F104" s="93"/>
      <c r="G104" s="93"/>
    </row>
    <row r="105" spans="1:7" ht="15">
      <c r="A105" s="2" t="s">
        <v>314</v>
      </c>
      <c r="B105" s="40"/>
      <c r="C105" s="36"/>
      <c r="D105" s="10"/>
      <c r="E105" s="7"/>
      <c r="F105" s="7"/>
      <c r="G105" s="7"/>
    </row>
    <row r="106" spans="1:7" ht="15">
      <c r="A106" s="2" t="s">
        <v>315</v>
      </c>
      <c r="B106" s="37"/>
      <c r="C106" s="36"/>
      <c r="D106" s="11">
        <v>15</v>
      </c>
      <c r="E106" s="16"/>
      <c r="F106" s="16"/>
      <c r="G106" s="16"/>
    </row>
    <row r="109" spans="1:7" ht="15">
      <c r="A109" s="89" t="s">
        <v>278</v>
      </c>
      <c r="B109" s="90"/>
      <c r="C109" s="91"/>
      <c r="D109" s="11">
        <v>7</v>
      </c>
    </row>
    <row r="110" spans="1:7" ht="15">
      <c r="A110" s="12" t="str">
        <f>Referencias!B220</f>
        <v>Marca texto</v>
      </c>
      <c r="B110" s="13">
        <v>1</v>
      </c>
      <c r="C110" s="6">
        <f>Referencias!F220</f>
        <v>3.17</v>
      </c>
      <c r="D110" s="6">
        <f t="shared" ref="D110:D112" si="9">B110*C110</f>
        <v>3.17</v>
      </c>
    </row>
    <row r="111" spans="1:7" ht="15">
      <c r="A111" s="12" t="str">
        <f>Referencias!B62</f>
        <v>Frete</v>
      </c>
      <c r="B111" s="12"/>
      <c r="C111" s="6">
        <f>Referencias!F62</f>
        <v>0</v>
      </c>
      <c r="D111" s="6">
        <f t="shared" si="9"/>
        <v>0</v>
      </c>
    </row>
    <row r="112" spans="1:7" ht="15">
      <c r="A112" s="12" t="str">
        <f>Referencias!B17</f>
        <v>Embalagem Padrão</v>
      </c>
      <c r="B112" s="13">
        <v>1</v>
      </c>
      <c r="C112" s="6">
        <f>Referencias!F17</f>
        <v>1.5</v>
      </c>
      <c r="D112" s="6">
        <f t="shared" si="9"/>
        <v>1.5</v>
      </c>
    </row>
    <row r="113" spans="1:7" ht="15">
      <c r="A113" s="2" t="s">
        <v>312</v>
      </c>
      <c r="B113" s="12"/>
      <c r="C113" s="10"/>
      <c r="D113" s="3">
        <f>SUM(D110:D112)</f>
        <v>4.67</v>
      </c>
    </row>
    <row r="114" spans="1:7" ht="15">
      <c r="A114" s="2" t="s">
        <v>313</v>
      </c>
      <c r="B114" s="15">
        <v>0.55000000000000004</v>
      </c>
      <c r="C114" s="6">
        <f>D113*B114</f>
        <v>2.5685000000000002</v>
      </c>
      <c r="D114" s="3">
        <f>D113+C114</f>
        <v>7.2385000000000002</v>
      </c>
      <c r="E114" s="92"/>
      <c r="F114" s="93"/>
      <c r="G114" s="93"/>
    </row>
    <row r="115" spans="1:7" ht="15">
      <c r="A115" s="2" t="s">
        <v>314</v>
      </c>
      <c r="B115" s="40"/>
      <c r="C115" s="36"/>
      <c r="D115" s="10"/>
      <c r="E115" s="7"/>
      <c r="F115" s="7"/>
      <c r="G115" s="7"/>
    </row>
    <row r="116" spans="1:7" ht="15">
      <c r="A116" s="2" t="s">
        <v>315</v>
      </c>
      <c r="B116" s="37"/>
      <c r="C116" s="36"/>
      <c r="D116" s="11">
        <v>7</v>
      </c>
      <c r="E116" s="16"/>
      <c r="F116" s="16"/>
      <c r="G116" s="16"/>
    </row>
  </sheetData>
  <mergeCells count="19">
    <mergeCell ref="A1:C1"/>
    <mergeCell ref="E7:G7"/>
    <mergeCell ref="A12:C12"/>
    <mergeCell ref="E20:G20"/>
    <mergeCell ref="A24:C24"/>
    <mergeCell ref="E32:G32"/>
    <mergeCell ref="A36:C36"/>
    <mergeCell ref="A90:C90"/>
    <mergeCell ref="A99:C99"/>
    <mergeCell ref="A109:C109"/>
    <mergeCell ref="E104:G104"/>
    <mergeCell ref="E114:G114"/>
    <mergeCell ref="E45:G45"/>
    <mergeCell ref="A49:C49"/>
    <mergeCell ref="E58:G58"/>
    <mergeCell ref="A62:C62"/>
    <mergeCell ref="A77:C77"/>
    <mergeCell ref="E86:G86"/>
    <mergeCell ref="E95:G95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FF00"/>
    <outlinePr summaryBelow="0" summaryRight="0"/>
  </sheetPr>
  <dimension ref="A1:G71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7" ht="15.75" customHeight="1">
      <c r="A1" s="89" t="s">
        <v>413</v>
      </c>
      <c r="B1" s="90"/>
      <c r="C1" s="91"/>
      <c r="D1" s="2">
        <v>4.5999999999999996</v>
      </c>
    </row>
    <row r="2" spans="1:7" ht="15.75" customHeight="1">
      <c r="A2" s="12" t="str">
        <f>Referencias!B153</f>
        <v>Chá Twinings Frutas Silvestres</v>
      </c>
      <c r="B2" s="13">
        <v>1</v>
      </c>
      <c r="C2" s="6">
        <f>Referencias!F153</f>
        <v>1.69</v>
      </c>
      <c r="D2" s="6">
        <f t="shared" ref="D2:D7" si="0">B2*C2</f>
        <v>1.69</v>
      </c>
    </row>
    <row r="3" spans="1:7" ht="15.75" customHeight="1">
      <c r="A3" s="12" t="str">
        <f>Referencias!B111</f>
        <v>Card OffSet 180gr</v>
      </c>
      <c r="B3" s="13">
        <v>1</v>
      </c>
      <c r="C3" s="6">
        <f>Referencias!F111</f>
        <v>0.05</v>
      </c>
      <c r="D3" s="6">
        <f t="shared" si="0"/>
        <v>0.05</v>
      </c>
      <c r="G3" s="14"/>
    </row>
    <row r="4" spans="1:7" ht="15.75" customHeight="1">
      <c r="A4" s="12" t="str">
        <f>Referencias!B23</f>
        <v>Impressao Capa A5</v>
      </c>
      <c r="B4" s="13">
        <v>1</v>
      </c>
      <c r="C4" s="6">
        <f>Referencias!F23</f>
        <v>0.25</v>
      </c>
      <c r="D4" s="6">
        <f t="shared" si="0"/>
        <v>0.25</v>
      </c>
      <c r="G4" s="14"/>
    </row>
    <row r="5" spans="1:7" ht="15.75" customHeight="1">
      <c r="A5" s="12" t="str">
        <f>Referencias!B62</f>
        <v>Frete</v>
      </c>
      <c r="B5" s="12"/>
      <c r="C5" s="6">
        <f>Referencias!F62</f>
        <v>0</v>
      </c>
      <c r="D5" s="6">
        <f t="shared" si="0"/>
        <v>0</v>
      </c>
    </row>
    <row r="6" spans="1:7" ht="15.75" customHeight="1">
      <c r="A6" s="12" t="str">
        <f>Referencias!B14</f>
        <v>Desgaste Bloquinho/Outros</v>
      </c>
      <c r="B6" s="13">
        <v>1</v>
      </c>
      <c r="C6" s="6">
        <f>Referencias!F14</f>
        <v>0.5</v>
      </c>
      <c r="D6" s="6">
        <f t="shared" si="0"/>
        <v>0.5</v>
      </c>
    </row>
    <row r="7" spans="1:7" ht="15.75" customHeight="1">
      <c r="A7" s="12" t="str">
        <f>Referencias!B107</f>
        <v>Embalagem Atacado</v>
      </c>
      <c r="B7" s="13">
        <v>1</v>
      </c>
      <c r="C7" s="6">
        <f>Referencias!F107</f>
        <v>0.5</v>
      </c>
      <c r="D7" s="6">
        <f t="shared" si="0"/>
        <v>0.5</v>
      </c>
    </row>
    <row r="8" spans="1:7" ht="15.75" customHeight="1">
      <c r="A8" s="2" t="s">
        <v>312</v>
      </c>
      <c r="B8" s="12"/>
      <c r="C8" s="6"/>
      <c r="D8" s="3">
        <f>SUM(D2:D7)</f>
        <v>2.99</v>
      </c>
    </row>
    <row r="9" spans="1:7" ht="15.75" customHeight="1">
      <c r="A9" s="2" t="s">
        <v>313</v>
      </c>
      <c r="B9" s="15">
        <v>0.55000000000000004</v>
      </c>
      <c r="C9" s="6">
        <f>D8*B9</f>
        <v>1.6445000000000003</v>
      </c>
      <c r="D9" s="3">
        <f>D8+C9</f>
        <v>4.634500000000001</v>
      </c>
      <c r="E9" s="92"/>
      <c r="F9" s="93"/>
      <c r="G9" s="93"/>
    </row>
    <row r="10" spans="1:7" ht="15.75" customHeight="1">
      <c r="A10" s="2" t="s">
        <v>314</v>
      </c>
      <c r="B10" s="12"/>
      <c r="C10" s="10"/>
      <c r="D10" s="10"/>
      <c r="E10" s="7"/>
      <c r="F10" s="7"/>
      <c r="G10" s="7"/>
    </row>
    <row r="11" spans="1:7" ht="15.75" customHeight="1">
      <c r="A11" s="2" t="s">
        <v>315</v>
      </c>
      <c r="B11" s="12"/>
      <c r="C11" s="10"/>
      <c r="D11" s="11">
        <v>5</v>
      </c>
      <c r="E11" s="16"/>
      <c r="F11" s="16"/>
      <c r="G11" s="16"/>
    </row>
    <row r="13" spans="1:7" ht="15.75" customHeight="1">
      <c r="A13" s="89" t="s">
        <v>414</v>
      </c>
      <c r="B13" s="90"/>
      <c r="C13" s="91"/>
      <c r="D13" s="11">
        <v>35</v>
      </c>
    </row>
    <row r="14" spans="1:7" ht="15.75" customHeight="1">
      <c r="A14" s="12" t="str">
        <f>Referencias!B153</f>
        <v>Chá Twinings Frutas Silvestres</v>
      </c>
      <c r="B14" s="13">
        <v>10</v>
      </c>
      <c r="C14" s="6">
        <f>Referencias!F153</f>
        <v>1.69</v>
      </c>
      <c r="D14" s="6">
        <f t="shared" ref="D14:D19" si="1">B14*C14</f>
        <v>16.899999999999999</v>
      </c>
    </row>
    <row r="15" spans="1:7" ht="15.75" customHeight="1">
      <c r="A15" s="12" t="str">
        <f>Referencias!B111</f>
        <v>Card OffSet 180gr</v>
      </c>
      <c r="B15" s="13">
        <v>10</v>
      </c>
      <c r="C15" s="6">
        <f>Referencias!F111</f>
        <v>0.05</v>
      </c>
      <c r="D15" s="6">
        <f t="shared" si="1"/>
        <v>0.5</v>
      </c>
    </row>
    <row r="16" spans="1:7" ht="15.75" customHeight="1">
      <c r="A16" s="12" t="str">
        <f>Referencias!B23</f>
        <v>Impressao Capa A5</v>
      </c>
      <c r="B16" s="13">
        <v>10</v>
      </c>
      <c r="C16" s="6">
        <f>Referencias!F23</f>
        <v>0.25</v>
      </c>
      <c r="D16" s="6">
        <f t="shared" si="1"/>
        <v>2.5</v>
      </c>
    </row>
    <row r="17" spans="1:7" ht="15.75" customHeight="1">
      <c r="A17" s="12" t="str">
        <f>Referencias!B62</f>
        <v>Frete</v>
      </c>
      <c r="B17" s="12"/>
      <c r="C17" s="6">
        <f>Referencias!F62</f>
        <v>0</v>
      </c>
      <c r="D17" s="6">
        <f t="shared" si="1"/>
        <v>0</v>
      </c>
    </row>
    <row r="18" spans="1:7" ht="15.75" customHeight="1">
      <c r="A18" s="12" t="str">
        <f>Referencias!B14</f>
        <v>Desgaste Bloquinho/Outros</v>
      </c>
      <c r="B18" s="13">
        <v>1</v>
      </c>
      <c r="C18" s="6">
        <f>Referencias!F14</f>
        <v>0.5</v>
      </c>
      <c r="D18" s="6">
        <f t="shared" si="1"/>
        <v>0.5</v>
      </c>
    </row>
    <row r="19" spans="1:7" ht="15.75" customHeight="1">
      <c r="A19" s="12" t="str">
        <f>Referencias!B17</f>
        <v>Embalagem Padrão</v>
      </c>
      <c r="B19" s="13">
        <v>1</v>
      </c>
      <c r="C19" s="6">
        <f>Referencias!F17</f>
        <v>1.5</v>
      </c>
      <c r="D19" s="6">
        <f t="shared" si="1"/>
        <v>1.5</v>
      </c>
    </row>
    <row r="20" spans="1:7" ht="15.75" customHeight="1">
      <c r="A20" s="2" t="s">
        <v>312</v>
      </c>
      <c r="B20" s="12"/>
      <c r="C20" s="6"/>
      <c r="D20" s="3">
        <f>SUM(D14:D19)</f>
        <v>21.9</v>
      </c>
    </row>
    <row r="21" spans="1:7" ht="15.75" customHeight="1">
      <c r="A21" s="2" t="s">
        <v>313</v>
      </c>
      <c r="B21" s="15">
        <v>0.55000000000000004</v>
      </c>
      <c r="C21" s="6">
        <f>D20*B21</f>
        <v>12.045</v>
      </c>
      <c r="D21" s="3">
        <f>D20+C21</f>
        <v>33.945</v>
      </c>
      <c r="E21" s="92"/>
      <c r="F21" s="93"/>
      <c r="G21" s="93"/>
    </row>
    <row r="22" spans="1:7" ht="15.75" customHeight="1">
      <c r="A22" s="2" t="s">
        <v>314</v>
      </c>
      <c r="B22" s="12"/>
      <c r="C22" s="10"/>
      <c r="D22" s="10"/>
      <c r="E22" s="7"/>
      <c r="F22" s="7"/>
      <c r="G22" s="7"/>
    </row>
    <row r="23" spans="1:7" ht="15.75" customHeight="1">
      <c r="A23" s="2" t="s">
        <v>315</v>
      </c>
      <c r="B23" s="12"/>
      <c r="C23" s="10"/>
      <c r="D23" s="11">
        <v>40</v>
      </c>
      <c r="E23" s="16"/>
      <c r="F23" s="16"/>
      <c r="G23" s="16"/>
    </row>
    <row r="25" spans="1:7" ht="15.75" customHeight="1">
      <c r="A25" s="89" t="s">
        <v>415</v>
      </c>
      <c r="B25" s="90"/>
      <c r="C25" s="91"/>
      <c r="D25" s="11">
        <v>3.5</v>
      </c>
    </row>
    <row r="26" spans="1:7" ht="15.75" customHeight="1">
      <c r="A26" s="12" t="str">
        <f>Referencias!B110</f>
        <v>Chocolate Baton 16g</v>
      </c>
      <c r="B26" s="13">
        <v>1</v>
      </c>
      <c r="C26" s="6">
        <f>Referencias!F110</f>
        <v>0.93</v>
      </c>
      <c r="D26" s="6">
        <f t="shared" ref="D26:D31" si="2">B26*C26</f>
        <v>0.93</v>
      </c>
    </row>
    <row r="27" spans="1:7" ht="15.75" customHeight="1">
      <c r="A27" s="12" t="str">
        <f>Referencias!B36</f>
        <v>miolo 180g A5</v>
      </c>
      <c r="B27" s="13">
        <v>1</v>
      </c>
      <c r="C27" s="6">
        <f>Referencias!F36</f>
        <v>0.16</v>
      </c>
      <c r="D27" s="6">
        <f t="shared" si="2"/>
        <v>0.16</v>
      </c>
    </row>
    <row r="28" spans="1:7" ht="15.75" customHeight="1">
      <c r="A28" s="12" t="str">
        <f>Referencias!B23</f>
        <v>Impressao Capa A5</v>
      </c>
      <c r="B28" s="13">
        <v>1</v>
      </c>
      <c r="C28" s="6">
        <f>Referencias!F23</f>
        <v>0.25</v>
      </c>
      <c r="D28" s="6">
        <f t="shared" si="2"/>
        <v>0.25</v>
      </c>
    </row>
    <row r="29" spans="1:7" ht="15.75" customHeight="1">
      <c r="A29" s="12" t="str">
        <f>Referencias!B62</f>
        <v>Frete</v>
      </c>
      <c r="B29" s="12"/>
      <c r="C29" s="6">
        <f>Referencias!F62</f>
        <v>0</v>
      </c>
      <c r="D29" s="6">
        <f t="shared" si="2"/>
        <v>0</v>
      </c>
    </row>
    <row r="30" spans="1:7" ht="15.75" customHeight="1">
      <c r="A30" s="12" t="str">
        <f>Referencias!B14</f>
        <v>Desgaste Bloquinho/Outros</v>
      </c>
      <c r="B30" s="13">
        <v>1</v>
      </c>
      <c r="C30" s="6">
        <f>Referencias!F14</f>
        <v>0.5</v>
      </c>
      <c r="D30" s="6">
        <f t="shared" si="2"/>
        <v>0.5</v>
      </c>
    </row>
    <row r="31" spans="1:7" ht="15.75" customHeight="1">
      <c r="A31" s="12" t="str">
        <f>Referencias!B107</f>
        <v>Embalagem Atacado</v>
      </c>
      <c r="B31" s="13">
        <v>1</v>
      </c>
      <c r="C31" s="6">
        <f>Referencias!F107</f>
        <v>0.5</v>
      </c>
      <c r="D31" s="6">
        <f t="shared" si="2"/>
        <v>0.5</v>
      </c>
    </row>
    <row r="32" spans="1:7" ht="15.75" customHeight="1">
      <c r="A32" s="2" t="s">
        <v>312</v>
      </c>
      <c r="B32" s="12"/>
      <c r="C32" s="6"/>
      <c r="D32" s="3">
        <f>SUM(D26:D31)</f>
        <v>2.34</v>
      </c>
    </row>
    <row r="33" spans="1:7" ht="15.75" customHeight="1">
      <c r="A33" s="2" t="s">
        <v>313</v>
      </c>
      <c r="B33" s="15">
        <v>0.55000000000000004</v>
      </c>
      <c r="C33" s="6">
        <f>D32*B33</f>
        <v>1.2869999999999999</v>
      </c>
      <c r="D33" s="3">
        <f>D32+C33</f>
        <v>3.6269999999999998</v>
      </c>
      <c r="E33" s="92"/>
      <c r="F33" s="93"/>
      <c r="G33" s="93"/>
    </row>
    <row r="34" spans="1:7" ht="15.75" customHeight="1">
      <c r="A34" s="2" t="s">
        <v>314</v>
      </c>
      <c r="B34" s="12"/>
      <c r="C34" s="10"/>
      <c r="D34" s="10"/>
      <c r="E34" s="7"/>
      <c r="F34" s="7"/>
      <c r="G34" s="7"/>
    </row>
    <row r="35" spans="1:7" ht="15.75" customHeight="1">
      <c r="A35" s="2" t="s">
        <v>315</v>
      </c>
      <c r="B35" s="12"/>
      <c r="C35" s="10"/>
      <c r="D35" s="11">
        <v>3.6</v>
      </c>
      <c r="E35" s="16"/>
      <c r="F35" s="16"/>
      <c r="G35" s="16"/>
    </row>
    <row r="37" spans="1:7" ht="15">
      <c r="A37" s="89" t="s">
        <v>416</v>
      </c>
      <c r="B37" s="90"/>
      <c r="C37" s="91"/>
      <c r="D37" s="11">
        <v>30</v>
      </c>
    </row>
    <row r="38" spans="1:7" ht="15">
      <c r="A38" s="12" t="str">
        <f>Referencias!B110</f>
        <v>Chocolate Baton 16g</v>
      </c>
      <c r="B38" s="13">
        <v>10</v>
      </c>
      <c r="C38" s="6">
        <f>Referencias!F110</f>
        <v>0.93</v>
      </c>
      <c r="D38" s="6">
        <f t="shared" ref="D38:D43" si="3">B38*C38</f>
        <v>9.3000000000000007</v>
      </c>
    </row>
    <row r="39" spans="1:7" ht="15">
      <c r="A39" s="12" t="str">
        <f>Referencias!B36</f>
        <v>miolo 180g A5</v>
      </c>
      <c r="B39" s="13">
        <v>10</v>
      </c>
      <c r="C39" s="6">
        <f>Referencias!F36</f>
        <v>0.16</v>
      </c>
      <c r="D39" s="6">
        <f t="shared" si="3"/>
        <v>1.6</v>
      </c>
    </row>
    <row r="40" spans="1:7" ht="15">
      <c r="A40" s="12" t="str">
        <f>Referencias!B23</f>
        <v>Impressao Capa A5</v>
      </c>
      <c r="B40" s="13">
        <v>10</v>
      </c>
      <c r="C40" s="6">
        <f>Referencias!F23</f>
        <v>0.25</v>
      </c>
      <c r="D40" s="6">
        <f t="shared" si="3"/>
        <v>2.5</v>
      </c>
    </row>
    <row r="41" spans="1:7" ht="15">
      <c r="A41" s="12" t="str">
        <f>Referencias!B62</f>
        <v>Frete</v>
      </c>
      <c r="B41" s="12"/>
      <c r="C41" s="6">
        <f>Referencias!F62</f>
        <v>0</v>
      </c>
      <c r="D41" s="6">
        <f t="shared" si="3"/>
        <v>0</v>
      </c>
    </row>
    <row r="42" spans="1:7" ht="15">
      <c r="A42" s="12" t="str">
        <f>Referencias!B14</f>
        <v>Desgaste Bloquinho/Outros</v>
      </c>
      <c r="B42" s="13">
        <v>1</v>
      </c>
      <c r="C42" s="6">
        <f>Referencias!F14</f>
        <v>0.5</v>
      </c>
      <c r="D42" s="6">
        <f t="shared" si="3"/>
        <v>0.5</v>
      </c>
    </row>
    <row r="43" spans="1:7" ht="15">
      <c r="A43" s="12" t="str">
        <f>Referencias!B17</f>
        <v>Embalagem Padrão</v>
      </c>
      <c r="B43" s="13">
        <v>1</v>
      </c>
      <c r="C43" s="6">
        <f>Referencias!F17</f>
        <v>1.5</v>
      </c>
      <c r="D43" s="6">
        <f t="shared" si="3"/>
        <v>1.5</v>
      </c>
    </row>
    <row r="44" spans="1:7" ht="15">
      <c r="A44" s="2" t="s">
        <v>312</v>
      </c>
      <c r="B44" s="12"/>
      <c r="C44" s="6"/>
      <c r="D44" s="3">
        <f>SUM(D38:D43)</f>
        <v>15.4</v>
      </c>
    </row>
    <row r="45" spans="1:7" ht="15">
      <c r="A45" s="2" t="s">
        <v>313</v>
      </c>
      <c r="B45" s="15">
        <v>0.55000000000000004</v>
      </c>
      <c r="C45" s="6">
        <f>D44*B45</f>
        <v>8.4700000000000006</v>
      </c>
      <c r="D45" s="3">
        <f>D44+C45</f>
        <v>23.87</v>
      </c>
      <c r="E45" s="92"/>
      <c r="F45" s="93"/>
      <c r="G45" s="93"/>
    </row>
    <row r="46" spans="1:7" ht="15">
      <c r="A46" s="2" t="s">
        <v>314</v>
      </c>
      <c r="B46" s="12"/>
      <c r="C46" s="10"/>
      <c r="D46" s="10"/>
      <c r="E46" s="7"/>
      <c r="F46" s="7"/>
      <c r="G46" s="7"/>
    </row>
    <row r="47" spans="1:7" ht="15">
      <c r="A47" s="2" t="s">
        <v>315</v>
      </c>
      <c r="B47" s="12"/>
      <c r="C47" s="10"/>
      <c r="D47" s="11">
        <v>30</v>
      </c>
      <c r="E47" s="16"/>
      <c r="F47" s="16"/>
      <c r="G47" s="16"/>
    </row>
    <row r="49" spans="1:7" ht="15">
      <c r="A49" s="89" t="s">
        <v>417</v>
      </c>
      <c r="B49" s="90"/>
      <c r="C49" s="91"/>
      <c r="D49" s="11">
        <v>3.5</v>
      </c>
    </row>
    <row r="50" spans="1:7" ht="15">
      <c r="A50" s="12" t="str">
        <f>Referencias!B114</f>
        <v>Sonho de Valsa 15g</v>
      </c>
      <c r="B50" s="13">
        <v>1</v>
      </c>
      <c r="C50" s="6">
        <f>Referencias!F114</f>
        <v>1.17</v>
      </c>
      <c r="D50" s="6">
        <f t="shared" ref="D50:D55" si="4">B50*C50</f>
        <v>1.17</v>
      </c>
    </row>
    <row r="51" spans="1:7" ht="15">
      <c r="A51" s="12" t="str">
        <f>Referencias!B111</f>
        <v>Card OffSet 180gr</v>
      </c>
      <c r="B51" s="13">
        <v>1</v>
      </c>
      <c r="C51" s="6">
        <f>Referencias!F111</f>
        <v>0.05</v>
      </c>
      <c r="D51" s="6">
        <f t="shared" si="4"/>
        <v>0.05</v>
      </c>
    </row>
    <row r="52" spans="1:7" ht="15">
      <c r="A52" s="12" t="str">
        <f>Referencias!B112</f>
        <v>Impressao Card</v>
      </c>
      <c r="B52" s="13">
        <v>1</v>
      </c>
      <c r="C52" s="6">
        <f>Referencias!F112</f>
        <v>0.08</v>
      </c>
      <c r="D52" s="6">
        <f t="shared" si="4"/>
        <v>0.08</v>
      </c>
    </row>
    <row r="53" spans="1:7" ht="15">
      <c r="A53" s="12" t="str">
        <f>Referencias!B62</f>
        <v>Frete</v>
      </c>
      <c r="B53" s="12"/>
      <c r="C53" s="6">
        <f>Referencias!F62</f>
        <v>0</v>
      </c>
      <c r="D53" s="6">
        <f t="shared" si="4"/>
        <v>0</v>
      </c>
    </row>
    <row r="54" spans="1:7" ht="15">
      <c r="A54" s="12" t="str">
        <f>Referencias!B14</f>
        <v>Desgaste Bloquinho/Outros</v>
      </c>
      <c r="B54" s="13">
        <v>1</v>
      </c>
      <c r="C54" s="6">
        <f>Referencias!F14</f>
        <v>0.5</v>
      </c>
      <c r="D54" s="6">
        <f t="shared" si="4"/>
        <v>0.5</v>
      </c>
    </row>
    <row r="55" spans="1:7" ht="15">
      <c r="A55" s="12" t="str">
        <f>Referencias!B107</f>
        <v>Embalagem Atacado</v>
      </c>
      <c r="B55" s="13">
        <v>1</v>
      </c>
      <c r="C55" s="6">
        <f>Referencias!F107</f>
        <v>0.5</v>
      </c>
      <c r="D55" s="6">
        <f t="shared" si="4"/>
        <v>0.5</v>
      </c>
    </row>
    <row r="56" spans="1:7" ht="15">
      <c r="A56" s="2" t="s">
        <v>312</v>
      </c>
      <c r="B56" s="12"/>
      <c r="C56" s="6"/>
      <c r="D56" s="3">
        <f>SUM(D50:D55)</f>
        <v>2.2999999999999998</v>
      </c>
    </row>
    <row r="57" spans="1:7" ht="15">
      <c r="A57" s="2" t="s">
        <v>313</v>
      </c>
      <c r="B57" s="15">
        <v>0.55000000000000004</v>
      </c>
      <c r="C57" s="6">
        <f>D56*B57</f>
        <v>1.2649999999999999</v>
      </c>
      <c r="D57" s="3">
        <f>D56+C57</f>
        <v>3.5649999999999995</v>
      </c>
      <c r="E57" s="92"/>
      <c r="F57" s="93"/>
      <c r="G57" s="93"/>
    </row>
    <row r="58" spans="1:7" ht="15">
      <c r="A58" s="2" t="s">
        <v>314</v>
      </c>
      <c r="B58" s="12"/>
      <c r="C58" s="10"/>
      <c r="D58" s="10"/>
      <c r="E58" s="7"/>
      <c r="F58" s="7"/>
      <c r="G58" s="7"/>
    </row>
    <row r="59" spans="1:7" ht="15">
      <c r="A59" s="2" t="s">
        <v>315</v>
      </c>
      <c r="B59" s="12"/>
      <c r="C59" s="10"/>
      <c r="D59" s="11">
        <v>3.5</v>
      </c>
      <c r="E59" s="16"/>
      <c r="F59" s="16"/>
      <c r="G59" s="16"/>
    </row>
    <row r="61" spans="1:7" ht="15">
      <c r="A61" s="89" t="s">
        <v>418</v>
      </c>
      <c r="B61" s="90"/>
      <c r="C61" s="91"/>
      <c r="D61" s="11">
        <v>2.35</v>
      </c>
    </row>
    <row r="62" spans="1:7" ht="15">
      <c r="A62" s="12" t="str">
        <f>Referencias!B115</f>
        <v>Moranguete 13g</v>
      </c>
      <c r="B62" s="13">
        <v>1</v>
      </c>
      <c r="C62" s="6">
        <f>Referencias!F115</f>
        <v>0.39</v>
      </c>
      <c r="D62" s="6">
        <f t="shared" ref="D62:D67" si="5">B62*C62</f>
        <v>0.39</v>
      </c>
    </row>
    <row r="63" spans="1:7" ht="15">
      <c r="A63" s="12" t="str">
        <f>Referencias!B111</f>
        <v>Card OffSet 180gr</v>
      </c>
      <c r="B63" s="13">
        <v>1</v>
      </c>
      <c r="C63" s="6">
        <f>Referencias!F111</f>
        <v>0.05</v>
      </c>
      <c r="D63" s="6">
        <f t="shared" si="5"/>
        <v>0.05</v>
      </c>
    </row>
    <row r="64" spans="1:7" ht="15">
      <c r="A64" s="12" t="str">
        <f>Referencias!B112</f>
        <v>Impressao Card</v>
      </c>
      <c r="B64" s="13">
        <v>1</v>
      </c>
      <c r="C64" s="6">
        <f>Referencias!F112</f>
        <v>0.08</v>
      </c>
      <c r="D64" s="6">
        <f t="shared" si="5"/>
        <v>0.08</v>
      </c>
    </row>
    <row r="65" spans="1:7" ht="15">
      <c r="A65" s="12" t="str">
        <f>Referencias!B62</f>
        <v>Frete</v>
      </c>
      <c r="B65" s="12"/>
      <c r="C65" s="6">
        <f>Referencias!F62</f>
        <v>0</v>
      </c>
      <c r="D65" s="6">
        <f t="shared" si="5"/>
        <v>0</v>
      </c>
    </row>
    <row r="66" spans="1:7" ht="15">
      <c r="A66" s="12" t="str">
        <f>Referencias!B14</f>
        <v>Desgaste Bloquinho/Outros</v>
      </c>
      <c r="B66" s="13">
        <v>1</v>
      </c>
      <c r="C66" s="6">
        <f>Referencias!F14</f>
        <v>0.5</v>
      </c>
      <c r="D66" s="6">
        <f t="shared" si="5"/>
        <v>0.5</v>
      </c>
    </row>
    <row r="67" spans="1:7" ht="15">
      <c r="A67" s="12" t="str">
        <f>Referencias!B107</f>
        <v>Embalagem Atacado</v>
      </c>
      <c r="B67" s="13">
        <v>1</v>
      </c>
      <c r="C67" s="6">
        <f>Referencias!F107</f>
        <v>0.5</v>
      </c>
      <c r="D67" s="6">
        <f t="shared" si="5"/>
        <v>0.5</v>
      </c>
    </row>
    <row r="68" spans="1:7" ht="15">
      <c r="A68" s="2" t="s">
        <v>312</v>
      </c>
      <c r="B68" s="12"/>
      <c r="C68" s="6"/>
      <c r="D68" s="3">
        <f>SUM(D62:D67)</f>
        <v>1.52</v>
      </c>
    </row>
    <row r="69" spans="1:7" ht="15">
      <c r="A69" s="2" t="s">
        <v>313</v>
      </c>
      <c r="B69" s="15">
        <v>0.55000000000000004</v>
      </c>
      <c r="C69" s="6">
        <f>D68*B69</f>
        <v>0.83600000000000008</v>
      </c>
      <c r="D69" s="3">
        <f>D68+C69</f>
        <v>2.3559999999999999</v>
      </c>
      <c r="E69" s="92"/>
      <c r="F69" s="93"/>
      <c r="G69" s="93"/>
    </row>
    <row r="70" spans="1:7" ht="15">
      <c r="A70" s="2" t="s">
        <v>314</v>
      </c>
      <c r="B70" s="12"/>
      <c r="C70" s="10"/>
      <c r="D70" s="10"/>
      <c r="E70" s="7"/>
      <c r="F70" s="7"/>
      <c r="G70" s="7"/>
    </row>
    <row r="71" spans="1:7" ht="15">
      <c r="A71" s="2" t="s">
        <v>315</v>
      </c>
      <c r="B71" s="12"/>
      <c r="C71" s="10"/>
      <c r="D71" s="11">
        <v>2.4</v>
      </c>
      <c r="E71" s="16"/>
      <c r="F71" s="16"/>
      <c r="G71" s="16"/>
    </row>
  </sheetData>
  <mergeCells count="12">
    <mergeCell ref="E45:G45"/>
    <mergeCell ref="A49:C49"/>
    <mergeCell ref="E57:G57"/>
    <mergeCell ref="A61:C61"/>
    <mergeCell ref="E69:G69"/>
    <mergeCell ref="E33:G33"/>
    <mergeCell ref="A37:C37"/>
    <mergeCell ref="A1:C1"/>
    <mergeCell ref="E9:G9"/>
    <mergeCell ref="A13:C13"/>
    <mergeCell ref="E21:G21"/>
    <mergeCell ref="A25:C25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FF00"/>
    <outlinePr summaryBelow="0" summaryRight="0"/>
  </sheetPr>
  <dimension ref="A1:G126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9" customWidth="1"/>
    <col min="3" max="4" width="7.7109375" customWidth="1"/>
    <col min="5" max="5" width="8.42578125" customWidth="1"/>
    <col min="6" max="7" width="7.42578125" customWidth="1"/>
    <col min="9" max="9" width="37.28515625" customWidth="1"/>
    <col min="10" max="10" width="13.42578125" customWidth="1"/>
    <col min="11" max="11" width="13.28515625" customWidth="1"/>
    <col min="17" max="17" width="28.5703125" customWidth="1"/>
  </cols>
  <sheetData>
    <row r="1" spans="1:7" ht="15.75" customHeight="1">
      <c r="A1" s="89" t="s">
        <v>321</v>
      </c>
      <c r="B1" s="90"/>
      <c r="C1" s="91"/>
      <c r="D1" s="3">
        <v>37.9</v>
      </c>
    </row>
    <row r="2" spans="1:7" ht="15.75" customHeight="1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4" si="0">B2*C2</f>
        <v>3</v>
      </c>
    </row>
    <row r="3" spans="1:7" ht="15.75" customHeight="1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</row>
    <row r="4" spans="1:7" ht="15.75" customHeight="1">
      <c r="A4" s="12" t="str">
        <f>Referencias!B31</f>
        <v>bopp</v>
      </c>
      <c r="B4" s="13">
        <f>0.3*2</f>
        <v>0.6</v>
      </c>
      <c r="C4" s="6">
        <f>Referencias!F31</f>
        <v>0.45</v>
      </c>
      <c r="D4" s="6">
        <f t="shared" si="0"/>
        <v>0.27</v>
      </c>
    </row>
    <row r="5" spans="1:7" ht="15.75" customHeight="1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</row>
    <row r="6" spans="1:7" ht="15.75" customHeight="1">
      <c r="A6" s="12" t="str">
        <f>Referencias!B40</f>
        <v>miolo 75gr A5</v>
      </c>
      <c r="B6" s="13">
        <v>109</v>
      </c>
      <c r="C6" s="6">
        <f>Referencias!F40</f>
        <v>0.03</v>
      </c>
      <c r="D6" s="6">
        <f t="shared" si="0"/>
        <v>3.27</v>
      </c>
    </row>
    <row r="7" spans="1:7" ht="15.75" customHeight="1">
      <c r="A7" s="12" t="str">
        <f>Referencias!B34</f>
        <v>Bolso  offset 180gr</v>
      </c>
      <c r="B7" s="13">
        <v>1</v>
      </c>
      <c r="C7" s="6">
        <f>Referencias!F34</f>
        <v>0.32</v>
      </c>
      <c r="D7" s="6">
        <f t="shared" si="0"/>
        <v>0.32</v>
      </c>
    </row>
    <row r="8" spans="1:7" ht="15.75" customHeight="1">
      <c r="A8" s="12" t="str">
        <f>Referencias!B19</f>
        <v>Espiral 29mm</v>
      </c>
      <c r="B8" s="13">
        <v>1</v>
      </c>
      <c r="C8" s="6">
        <f>Referencias!F19</f>
        <v>1.83</v>
      </c>
      <c r="D8" s="6">
        <f t="shared" si="0"/>
        <v>1.83</v>
      </c>
    </row>
    <row r="9" spans="1:7" ht="15.75" customHeight="1">
      <c r="A9" s="12" t="str">
        <f>Referencias!B22</f>
        <v>Impressao Capa A4</v>
      </c>
      <c r="B9" s="13">
        <v>2</v>
      </c>
      <c r="C9" s="6">
        <f>Referencias!F22</f>
        <v>0.5</v>
      </c>
      <c r="D9" s="6">
        <f t="shared" si="0"/>
        <v>1</v>
      </c>
    </row>
    <row r="10" spans="1:7" ht="15.75" customHeight="1">
      <c r="A10" s="12" t="str">
        <f>Referencias!B29</f>
        <v>Impressao Miolo Frente Verso A5</v>
      </c>
      <c r="B10" s="13">
        <v>109</v>
      </c>
      <c r="C10" s="6">
        <f>Referencias!F29</f>
        <v>0.06</v>
      </c>
      <c r="D10" s="6">
        <f t="shared" si="0"/>
        <v>6.54</v>
      </c>
    </row>
    <row r="11" spans="1:7" ht="15.75" customHeight="1">
      <c r="A11" s="12" t="str">
        <f>Referencias!B21</f>
        <v>Impressao Bolso A4</v>
      </c>
      <c r="B11" s="13">
        <v>1</v>
      </c>
      <c r="C11" s="6">
        <f>Referencias!F21</f>
        <v>1</v>
      </c>
      <c r="D11" s="6">
        <f t="shared" si="0"/>
        <v>1</v>
      </c>
    </row>
    <row r="12" spans="1:7" ht="15.75" customHeight="1">
      <c r="A12" s="12" t="str">
        <f>Referencias!B62</f>
        <v>Frete</v>
      </c>
      <c r="B12" s="12"/>
      <c r="C12" s="6">
        <f>Referencias!F62</f>
        <v>0</v>
      </c>
      <c r="D12" s="6">
        <f t="shared" si="0"/>
        <v>0</v>
      </c>
    </row>
    <row r="13" spans="1:7" ht="15.75" customHeight="1">
      <c r="A13" s="12" t="str">
        <f>Referencias!B13</f>
        <v>Desgaste Agenda</v>
      </c>
      <c r="B13" s="13">
        <v>1</v>
      </c>
      <c r="C13" s="6">
        <f>Referencias!F13</f>
        <v>1</v>
      </c>
      <c r="D13" s="6">
        <f t="shared" si="0"/>
        <v>1</v>
      </c>
    </row>
    <row r="14" spans="1:7" ht="15.75" customHeight="1">
      <c r="A14" s="12" t="str">
        <f>Referencias!B17</f>
        <v>Embalagem Padrão</v>
      </c>
      <c r="B14" s="13">
        <v>1</v>
      </c>
      <c r="C14" s="6">
        <f>Referencias!F17</f>
        <v>1.5</v>
      </c>
      <c r="D14" s="6">
        <f t="shared" si="0"/>
        <v>1.5</v>
      </c>
    </row>
    <row r="15" spans="1:7" ht="15.75" customHeight="1">
      <c r="A15" s="2" t="s">
        <v>312</v>
      </c>
      <c r="B15" s="12"/>
      <c r="C15" s="6"/>
      <c r="D15" s="3">
        <f>SUM(D2:D14)</f>
        <v>22.83</v>
      </c>
    </row>
    <row r="16" spans="1:7" ht="15.75" customHeight="1">
      <c r="A16" s="2" t="s">
        <v>313</v>
      </c>
      <c r="B16" s="15">
        <v>0.55000000000000004</v>
      </c>
      <c r="C16" s="6">
        <f>D15*B16</f>
        <v>12.5565</v>
      </c>
      <c r="D16" s="3">
        <f>D15+C16</f>
        <v>35.386499999999998</v>
      </c>
      <c r="E16" s="92"/>
      <c r="F16" s="93"/>
      <c r="G16" s="93"/>
    </row>
    <row r="17" spans="1:7" ht="15.75" customHeight="1">
      <c r="A17" s="2" t="s">
        <v>314</v>
      </c>
      <c r="B17" s="29" t="s">
        <v>322</v>
      </c>
      <c r="C17" s="36"/>
      <c r="D17" s="10"/>
      <c r="E17" s="7"/>
      <c r="F17" s="7"/>
      <c r="G17" s="7"/>
    </row>
    <row r="18" spans="1:7" ht="15.75" customHeight="1">
      <c r="A18" s="2" t="s">
        <v>315</v>
      </c>
      <c r="B18" s="37">
        <v>55</v>
      </c>
      <c r="C18" s="36"/>
      <c r="D18" s="3">
        <v>40</v>
      </c>
      <c r="E18" s="16"/>
      <c r="F18" s="16"/>
      <c r="G18" s="16"/>
    </row>
    <row r="20" spans="1:7" ht="15.75" customHeight="1">
      <c r="A20" s="89" t="s">
        <v>324</v>
      </c>
      <c r="B20" s="90"/>
      <c r="C20" s="91"/>
      <c r="D20" s="3">
        <v>30</v>
      </c>
    </row>
    <row r="21" spans="1:7" ht="15.75" customHeight="1">
      <c r="A21" s="12" t="str">
        <f>Referencias!B58</f>
        <v>Papelão 16x22</v>
      </c>
      <c r="B21" s="13">
        <v>2</v>
      </c>
      <c r="C21" s="6">
        <f>Referencias!F58</f>
        <v>1.5</v>
      </c>
      <c r="D21" s="6">
        <f t="shared" ref="D21:D33" si="1">B21*C21</f>
        <v>3</v>
      </c>
    </row>
    <row r="22" spans="1:7" ht="15.75" customHeight="1">
      <c r="A22" s="12" t="str">
        <f>Referencias!B53</f>
        <v>Papel fotografico A4</v>
      </c>
      <c r="B22" s="13">
        <v>2</v>
      </c>
      <c r="C22" s="6">
        <f>Referencias!F53</f>
        <v>0.8</v>
      </c>
      <c r="D22" s="6">
        <f t="shared" si="1"/>
        <v>1.6</v>
      </c>
    </row>
    <row r="23" spans="1:7" ht="15.75" customHeight="1">
      <c r="A23" s="12" t="str">
        <f>Referencias!B31</f>
        <v>bopp</v>
      </c>
      <c r="B23" s="13">
        <f>0.3*2</f>
        <v>0.6</v>
      </c>
      <c r="C23" s="6">
        <f>Referencias!F31</f>
        <v>0.45</v>
      </c>
      <c r="D23" s="6">
        <f t="shared" si="1"/>
        <v>0.27</v>
      </c>
    </row>
    <row r="24" spans="1:7" ht="15.75" customHeight="1">
      <c r="A24" s="12" t="str">
        <f>Referencias!B48</f>
        <v>Papel guarda 15,5x21,5 offset adesivo</v>
      </c>
      <c r="B24" s="13">
        <v>2</v>
      </c>
      <c r="C24" s="6">
        <f>Referencias!F48</f>
        <v>0.75</v>
      </c>
      <c r="D24" s="6">
        <f t="shared" si="1"/>
        <v>1.5</v>
      </c>
    </row>
    <row r="25" spans="1:7" ht="15.75" customHeight="1">
      <c r="A25" s="12" t="str">
        <f>Referencias!B45</f>
        <v>miolo 90gr A5</v>
      </c>
      <c r="B25" s="13">
        <v>57</v>
      </c>
      <c r="C25" s="6">
        <f>Referencias!F45</f>
        <v>0.05</v>
      </c>
      <c r="D25" s="6">
        <f t="shared" si="1"/>
        <v>2.85</v>
      </c>
    </row>
    <row r="26" spans="1:7" ht="15.75" customHeight="1">
      <c r="A26" s="12" t="str">
        <f>Referencias!B34</f>
        <v>Bolso  offset 180gr</v>
      </c>
      <c r="B26" s="13">
        <v>1</v>
      </c>
      <c r="C26" s="6">
        <f>Referencias!F34</f>
        <v>0.32</v>
      </c>
      <c r="D26" s="6">
        <f t="shared" si="1"/>
        <v>0.32</v>
      </c>
    </row>
    <row r="27" spans="1:7" ht="15.75" customHeight="1">
      <c r="A27" s="12" t="str">
        <f>Referencias!B69</f>
        <v>Espiral 20mm</v>
      </c>
      <c r="B27" s="13">
        <v>1</v>
      </c>
      <c r="C27" s="6">
        <f>Referencias!F69</f>
        <v>0.64</v>
      </c>
      <c r="D27" s="6">
        <f t="shared" si="1"/>
        <v>0.64</v>
      </c>
    </row>
    <row r="28" spans="1:7" ht="15.75" customHeight="1">
      <c r="A28" s="12" t="str">
        <f>Referencias!B22</f>
        <v>Impressao Capa A4</v>
      </c>
      <c r="B28" s="13">
        <v>2</v>
      </c>
      <c r="C28" s="6">
        <f>Referencias!F22</f>
        <v>0.5</v>
      </c>
      <c r="D28" s="6">
        <f t="shared" si="1"/>
        <v>1</v>
      </c>
    </row>
    <row r="29" spans="1:7" ht="15.75" customHeight="1">
      <c r="A29" s="12" t="str">
        <f>Referencias!B29</f>
        <v>Impressao Miolo Frente Verso A5</v>
      </c>
      <c r="B29" s="13">
        <v>57</v>
      </c>
      <c r="C29" s="6">
        <f>Referencias!F29</f>
        <v>0.06</v>
      </c>
      <c r="D29" s="6">
        <f t="shared" si="1"/>
        <v>3.42</v>
      </c>
    </row>
    <row r="30" spans="1:7" ht="15.75" customHeight="1">
      <c r="A30" s="12" t="str">
        <f>Referencias!B21</f>
        <v>Impressao Bolso A4</v>
      </c>
      <c r="B30" s="13">
        <v>1</v>
      </c>
      <c r="C30" s="6">
        <f>Referencias!F21</f>
        <v>1</v>
      </c>
      <c r="D30" s="6">
        <f t="shared" si="1"/>
        <v>1</v>
      </c>
    </row>
    <row r="31" spans="1:7" ht="15.75" customHeight="1">
      <c r="A31" s="12" t="str">
        <f>Referencias!B62</f>
        <v>Frete</v>
      </c>
      <c r="B31" s="12"/>
      <c r="C31" s="6">
        <f>Referencias!F62</f>
        <v>0</v>
      </c>
      <c r="D31" s="6">
        <f t="shared" si="1"/>
        <v>0</v>
      </c>
    </row>
    <row r="32" spans="1:7" ht="15.75" customHeight="1">
      <c r="A32" s="12" t="str">
        <f>Referencias!B13</f>
        <v>Desgaste Agenda</v>
      </c>
      <c r="B32" s="13">
        <v>1</v>
      </c>
      <c r="C32" s="6">
        <f>Referencias!F13</f>
        <v>1</v>
      </c>
      <c r="D32" s="6">
        <f t="shared" si="1"/>
        <v>1</v>
      </c>
    </row>
    <row r="33" spans="1:7" ht="15.75" customHeight="1">
      <c r="A33" s="12" t="str">
        <f>Referencias!B17</f>
        <v>Embalagem Padrão</v>
      </c>
      <c r="B33" s="13">
        <v>1</v>
      </c>
      <c r="C33" s="6">
        <f>Referencias!F17</f>
        <v>1.5</v>
      </c>
      <c r="D33" s="6">
        <f t="shared" si="1"/>
        <v>1.5</v>
      </c>
    </row>
    <row r="34" spans="1:7" ht="15.75" customHeight="1">
      <c r="A34" s="2" t="s">
        <v>312</v>
      </c>
      <c r="B34" s="12"/>
      <c r="C34" s="6"/>
      <c r="D34" s="3">
        <f>SUM(D21:D33)</f>
        <v>18.100000000000001</v>
      </c>
    </row>
    <row r="35" spans="1:7" ht="15.75" customHeight="1">
      <c r="A35" s="2" t="s">
        <v>313</v>
      </c>
      <c r="B35" s="15">
        <v>0.55000000000000004</v>
      </c>
      <c r="C35" s="6">
        <f>D34*B35</f>
        <v>9.9550000000000018</v>
      </c>
      <c r="D35" s="3">
        <f>D34+C35</f>
        <v>28.055000000000003</v>
      </c>
      <c r="E35" s="92"/>
      <c r="F35" s="93"/>
      <c r="G35" s="93"/>
    </row>
    <row r="36" spans="1:7" ht="15.75" customHeight="1">
      <c r="A36" s="2" t="s">
        <v>314</v>
      </c>
      <c r="B36" s="29" t="s">
        <v>322</v>
      </c>
      <c r="C36" s="10"/>
      <c r="D36" s="10"/>
      <c r="E36" s="7"/>
      <c r="F36" s="7"/>
      <c r="G36" s="7"/>
    </row>
    <row r="37" spans="1:7" ht="15">
      <c r="A37" s="2" t="s">
        <v>315</v>
      </c>
      <c r="B37" s="37">
        <v>39</v>
      </c>
      <c r="C37" s="10"/>
      <c r="D37" s="3">
        <v>30</v>
      </c>
      <c r="E37" s="16"/>
      <c r="F37" s="16"/>
      <c r="G37" s="16"/>
    </row>
    <row r="39" spans="1:7" ht="15">
      <c r="A39" s="89" t="s">
        <v>419</v>
      </c>
      <c r="B39" s="90"/>
      <c r="C39" s="91"/>
      <c r="D39" s="23">
        <v>40</v>
      </c>
      <c r="E39" s="18"/>
      <c r="F39" s="18"/>
    </row>
    <row r="40" spans="1:7" ht="15">
      <c r="A40" s="19" t="str">
        <f>Referencias!B58</f>
        <v>Papelão 16x22</v>
      </c>
      <c r="B40" s="26">
        <v>2</v>
      </c>
      <c r="C40" s="6">
        <f>Referencias!F58</f>
        <v>1.5</v>
      </c>
      <c r="D40" s="21">
        <f t="shared" ref="D40:D52" si="2">B40*C40</f>
        <v>3</v>
      </c>
      <c r="E40" s="18"/>
      <c r="F40" s="18"/>
      <c r="G40" s="18"/>
    </row>
    <row r="41" spans="1:7" ht="15">
      <c r="A41" s="19" t="str">
        <f>Referencias!B53</f>
        <v>Papel fotografico A4</v>
      </c>
      <c r="B41" s="26">
        <v>2</v>
      </c>
      <c r="C41" s="6">
        <f>Referencias!F53</f>
        <v>0.8</v>
      </c>
      <c r="D41" s="21">
        <f t="shared" si="2"/>
        <v>1.6</v>
      </c>
      <c r="E41" s="18"/>
      <c r="F41" s="18"/>
      <c r="G41" s="18"/>
    </row>
    <row r="42" spans="1:7" ht="15">
      <c r="A42" s="19" t="str">
        <f>Referencias!B31</f>
        <v>bopp</v>
      </c>
      <c r="B42" s="13">
        <f>0.3*2</f>
        <v>0.6</v>
      </c>
      <c r="C42" s="6">
        <f>Referencias!F31</f>
        <v>0.45</v>
      </c>
      <c r="D42" s="21">
        <f t="shared" si="2"/>
        <v>0.27</v>
      </c>
      <c r="E42" s="18"/>
      <c r="F42" s="18"/>
      <c r="G42" s="18"/>
    </row>
    <row r="43" spans="1:7" ht="15">
      <c r="A43" s="19" t="str">
        <f>Referencias!B48</f>
        <v>Papel guarda 15,5x21,5 offset adesivo</v>
      </c>
      <c r="B43" s="26">
        <v>2</v>
      </c>
      <c r="C43" s="6">
        <f>Referencias!F48</f>
        <v>0.75</v>
      </c>
      <c r="D43" s="21">
        <f t="shared" si="2"/>
        <v>1.5</v>
      </c>
      <c r="E43" s="18"/>
      <c r="F43" s="18"/>
      <c r="G43" s="18"/>
    </row>
    <row r="44" spans="1:7" ht="15">
      <c r="A44" s="12" t="str">
        <f>Referencias!B40</f>
        <v>miolo 75gr A5</v>
      </c>
      <c r="B44" s="26">
        <v>130</v>
      </c>
      <c r="C44" s="6">
        <f>Referencias!F40</f>
        <v>0.03</v>
      </c>
      <c r="D44" s="21">
        <f t="shared" si="2"/>
        <v>3.9</v>
      </c>
      <c r="E44" s="18"/>
      <c r="F44" s="18"/>
      <c r="G44" s="18"/>
    </row>
    <row r="45" spans="1:7" ht="15">
      <c r="A45" s="19" t="str">
        <f>Referencias!B34</f>
        <v>Bolso  offset 180gr</v>
      </c>
      <c r="B45" s="26">
        <v>1</v>
      </c>
      <c r="C45" s="6">
        <f>Referencias!F34</f>
        <v>0.32</v>
      </c>
      <c r="D45" s="21">
        <f t="shared" si="2"/>
        <v>0.32</v>
      </c>
      <c r="E45" s="18"/>
      <c r="F45" s="18"/>
      <c r="G45" s="18"/>
    </row>
    <row r="46" spans="1:7" ht="15">
      <c r="A46" s="19" t="str">
        <f>Referencias!B19</f>
        <v>Espiral 29mm</v>
      </c>
      <c r="B46" s="26">
        <v>1</v>
      </c>
      <c r="C46" s="6">
        <f>Referencias!F19</f>
        <v>1.83</v>
      </c>
      <c r="D46" s="6">
        <f t="shared" si="2"/>
        <v>1.83</v>
      </c>
      <c r="E46" s="18"/>
      <c r="F46" s="18"/>
      <c r="G46" s="18"/>
    </row>
    <row r="47" spans="1:7" ht="15">
      <c r="A47" s="19" t="str">
        <f>Referencias!B22</f>
        <v>Impressao Capa A4</v>
      </c>
      <c r="B47" s="26">
        <v>2</v>
      </c>
      <c r="C47" s="6">
        <f>Referencias!F22</f>
        <v>0.5</v>
      </c>
      <c r="D47" s="21">
        <f t="shared" si="2"/>
        <v>1</v>
      </c>
      <c r="E47" s="18"/>
      <c r="F47" s="18"/>
      <c r="G47" s="18"/>
    </row>
    <row r="48" spans="1:7" ht="15">
      <c r="A48" s="19" t="str">
        <f>Referencias!B29</f>
        <v>Impressao Miolo Frente Verso A5</v>
      </c>
      <c r="B48" s="26">
        <v>130</v>
      </c>
      <c r="C48" s="6">
        <f>Referencias!F29</f>
        <v>0.06</v>
      </c>
      <c r="D48" s="21">
        <f t="shared" si="2"/>
        <v>7.8</v>
      </c>
      <c r="E48" s="18"/>
      <c r="F48" s="18"/>
      <c r="G48" s="18"/>
    </row>
    <row r="49" spans="1:7" ht="15">
      <c r="A49" s="19" t="str">
        <f>Referencias!B21</f>
        <v>Impressao Bolso A4</v>
      </c>
      <c r="B49" s="26">
        <v>1</v>
      </c>
      <c r="C49" s="6">
        <f>Referencias!F21</f>
        <v>1</v>
      </c>
      <c r="D49" s="21">
        <f t="shared" si="2"/>
        <v>1</v>
      </c>
      <c r="E49" s="18"/>
      <c r="F49" s="18"/>
      <c r="G49" s="18"/>
    </row>
    <row r="50" spans="1:7" ht="15">
      <c r="A50" s="19" t="str">
        <f>Referencias!B62</f>
        <v>Frete</v>
      </c>
      <c r="B50" s="27"/>
      <c r="C50" s="28">
        <f>Referencias!F62</f>
        <v>0</v>
      </c>
      <c r="D50" s="21">
        <f t="shared" si="2"/>
        <v>0</v>
      </c>
      <c r="E50" s="18"/>
      <c r="F50" s="18"/>
      <c r="G50" s="18"/>
    </row>
    <row r="51" spans="1:7" ht="15">
      <c r="A51" s="19" t="str">
        <f>Referencias!B13</f>
        <v>Desgaste Agenda</v>
      </c>
      <c r="B51" s="26">
        <v>1</v>
      </c>
      <c r="C51" s="6">
        <f>Referencias!F13</f>
        <v>1</v>
      </c>
      <c r="D51" s="21">
        <f t="shared" si="2"/>
        <v>1</v>
      </c>
      <c r="E51" s="18"/>
      <c r="F51" s="18"/>
      <c r="G51" s="18"/>
    </row>
    <row r="52" spans="1:7" ht="15">
      <c r="A52" s="19" t="str">
        <f>Referencias!B17</f>
        <v>Embalagem Padrão</v>
      </c>
      <c r="B52" s="26">
        <v>1</v>
      </c>
      <c r="C52" s="6">
        <f>Referencias!F17</f>
        <v>1.5</v>
      </c>
      <c r="D52" s="21">
        <f t="shared" si="2"/>
        <v>1.5</v>
      </c>
      <c r="E52" s="18"/>
      <c r="F52" s="18"/>
      <c r="G52" s="18"/>
    </row>
    <row r="53" spans="1:7" ht="15">
      <c r="A53" s="22" t="s">
        <v>312</v>
      </c>
      <c r="B53" s="27"/>
      <c r="C53" s="28"/>
      <c r="D53" s="23">
        <f>SUM(D40:D52)</f>
        <v>24.72</v>
      </c>
      <c r="E53" s="18"/>
      <c r="F53" s="18"/>
      <c r="G53" s="18"/>
    </row>
    <row r="54" spans="1:7" ht="15">
      <c r="A54" s="22" t="s">
        <v>313</v>
      </c>
      <c r="B54" s="24">
        <v>0.55000000000000004</v>
      </c>
      <c r="C54" s="21">
        <f>D53*B54</f>
        <v>13.596</v>
      </c>
      <c r="D54" s="23">
        <f>D53+C54</f>
        <v>38.316000000000003</v>
      </c>
      <c r="E54" s="92"/>
      <c r="F54" s="93"/>
      <c r="G54" s="93"/>
    </row>
    <row r="55" spans="1:7" ht="15">
      <c r="A55" s="22" t="s">
        <v>314</v>
      </c>
      <c r="B55" s="19"/>
      <c r="C55" s="27"/>
      <c r="D55" s="27"/>
      <c r="E55" s="7"/>
      <c r="F55" s="7"/>
      <c r="G55" s="7"/>
    </row>
    <row r="56" spans="1:7" ht="15">
      <c r="A56" s="22" t="s">
        <v>315</v>
      </c>
      <c r="B56" s="38"/>
      <c r="C56" s="27"/>
      <c r="D56" s="23">
        <v>40</v>
      </c>
      <c r="E56" s="16"/>
      <c r="F56" s="16"/>
      <c r="G56" s="16"/>
    </row>
    <row r="58" spans="1:7" ht="15">
      <c r="A58" s="89" t="s">
        <v>326</v>
      </c>
      <c r="B58" s="90"/>
      <c r="C58" s="91"/>
      <c r="D58" s="23">
        <v>35</v>
      </c>
      <c r="E58" s="18"/>
      <c r="F58" s="18"/>
    </row>
    <row r="59" spans="1:7" ht="15">
      <c r="A59" s="19" t="str">
        <f>Referencias!B58</f>
        <v>Papelão 16x22</v>
      </c>
      <c r="B59" s="26">
        <v>2</v>
      </c>
      <c r="C59" s="6">
        <f>Referencias!F58</f>
        <v>1.5</v>
      </c>
      <c r="D59" s="21">
        <f t="shared" ref="D59:D71" si="3">B59*C59</f>
        <v>3</v>
      </c>
      <c r="E59" s="18"/>
      <c r="F59" s="18"/>
      <c r="G59" s="18"/>
    </row>
    <row r="60" spans="1:7" ht="15">
      <c r="A60" s="19" t="str">
        <f>Referencias!B53</f>
        <v>Papel fotografico A4</v>
      </c>
      <c r="B60" s="26">
        <v>2</v>
      </c>
      <c r="C60" s="6">
        <f>Referencias!F53</f>
        <v>0.8</v>
      </c>
      <c r="D60" s="21">
        <f t="shared" si="3"/>
        <v>1.6</v>
      </c>
      <c r="E60" s="18"/>
      <c r="F60" s="18"/>
      <c r="G60" s="18"/>
    </row>
    <row r="61" spans="1:7" ht="15">
      <c r="A61" s="19" t="str">
        <f>Referencias!B31</f>
        <v>bopp</v>
      </c>
      <c r="B61" s="13">
        <f>0.3*2</f>
        <v>0.6</v>
      </c>
      <c r="C61" s="6">
        <f>Referencias!F31</f>
        <v>0.45</v>
      </c>
      <c r="D61" s="21">
        <f t="shared" si="3"/>
        <v>0.27</v>
      </c>
      <c r="E61" s="18"/>
      <c r="F61" s="18"/>
      <c r="G61" s="18"/>
    </row>
    <row r="62" spans="1:7" ht="15">
      <c r="A62" s="19" t="str">
        <f>Referencias!B48</f>
        <v>Papel guarda 15,5x21,5 offset adesivo</v>
      </c>
      <c r="B62" s="26">
        <v>2</v>
      </c>
      <c r="C62" s="6">
        <f>Referencias!F48</f>
        <v>0.75</v>
      </c>
      <c r="D62" s="21">
        <f t="shared" si="3"/>
        <v>1.5</v>
      </c>
      <c r="E62" s="18"/>
      <c r="F62" s="18"/>
      <c r="G62" s="18"/>
    </row>
    <row r="63" spans="1:7" ht="15">
      <c r="A63" s="19" t="str">
        <f>Referencias!B45</f>
        <v>miolo 90gr A5</v>
      </c>
      <c r="B63" s="26">
        <v>61</v>
      </c>
      <c r="C63" s="21">
        <f>Referencias!F45</f>
        <v>0.05</v>
      </c>
      <c r="D63" s="21">
        <f t="shared" si="3"/>
        <v>3.0500000000000003</v>
      </c>
      <c r="E63" s="18"/>
      <c r="F63" s="18"/>
      <c r="G63" s="18"/>
    </row>
    <row r="64" spans="1:7" ht="15">
      <c r="A64" s="19" t="str">
        <f>Referencias!B34</f>
        <v>Bolso  offset 180gr</v>
      </c>
      <c r="B64" s="26">
        <v>1</v>
      </c>
      <c r="C64" s="6">
        <f>Referencias!F34</f>
        <v>0.32</v>
      </c>
      <c r="D64" s="21">
        <f t="shared" si="3"/>
        <v>0.32</v>
      </c>
      <c r="E64" s="18"/>
      <c r="F64" s="18"/>
      <c r="G64" s="18"/>
    </row>
    <row r="65" spans="1:7" ht="15">
      <c r="A65" s="19" t="str">
        <f>Referencias!B69</f>
        <v>Espiral 20mm</v>
      </c>
      <c r="B65" s="26">
        <v>1</v>
      </c>
      <c r="C65" s="21">
        <f>Referencias!F69</f>
        <v>0.64</v>
      </c>
      <c r="D65" s="21">
        <f t="shared" si="3"/>
        <v>0.64</v>
      </c>
      <c r="E65" s="18"/>
      <c r="F65" s="18"/>
      <c r="G65" s="18"/>
    </row>
    <row r="66" spans="1:7" ht="15">
      <c r="A66" s="19" t="str">
        <f>Referencias!B22</f>
        <v>Impressao Capa A4</v>
      </c>
      <c r="B66" s="26">
        <v>2</v>
      </c>
      <c r="C66" s="6">
        <f>Referencias!F22</f>
        <v>0.5</v>
      </c>
      <c r="D66" s="21">
        <f t="shared" si="3"/>
        <v>1</v>
      </c>
      <c r="E66" s="18"/>
      <c r="F66" s="18"/>
      <c r="G66" s="18"/>
    </row>
    <row r="67" spans="1:7" ht="15">
      <c r="A67" s="19" t="str">
        <f>Referencias!B29</f>
        <v>Impressao Miolo Frente Verso A5</v>
      </c>
      <c r="B67" s="26">
        <v>61</v>
      </c>
      <c r="C67" s="6">
        <f>Referencias!F29</f>
        <v>0.06</v>
      </c>
      <c r="D67" s="21">
        <f t="shared" si="3"/>
        <v>3.6599999999999997</v>
      </c>
      <c r="E67" s="18"/>
      <c r="F67" s="18"/>
      <c r="G67" s="18"/>
    </row>
    <row r="68" spans="1:7" ht="15">
      <c r="A68" s="19" t="str">
        <f>Referencias!B21</f>
        <v>Impressao Bolso A4</v>
      </c>
      <c r="B68" s="26">
        <v>1</v>
      </c>
      <c r="C68" s="6">
        <f>Referencias!F21</f>
        <v>1</v>
      </c>
      <c r="D68" s="21">
        <f t="shared" si="3"/>
        <v>1</v>
      </c>
      <c r="E68" s="18"/>
      <c r="F68" s="18"/>
      <c r="G68" s="18"/>
    </row>
    <row r="69" spans="1:7" ht="15">
      <c r="A69" s="19" t="str">
        <f>Referencias!B62</f>
        <v>Frete</v>
      </c>
      <c r="B69" s="27"/>
      <c r="C69" s="28">
        <f>Referencias!F62</f>
        <v>0</v>
      </c>
      <c r="D69" s="21">
        <f t="shared" si="3"/>
        <v>0</v>
      </c>
      <c r="E69" s="18"/>
      <c r="F69" s="18"/>
      <c r="G69" s="18"/>
    </row>
    <row r="70" spans="1:7" ht="15">
      <c r="A70" s="19" t="str">
        <f>Referencias!B16</f>
        <v>Desgaste Planner/Album/Caderno Universitario</v>
      </c>
      <c r="B70" s="26">
        <v>1</v>
      </c>
      <c r="C70" s="6">
        <f>Referencias!F16</f>
        <v>3</v>
      </c>
      <c r="D70" s="21">
        <f t="shared" si="3"/>
        <v>3</v>
      </c>
      <c r="E70" s="18"/>
      <c r="F70" s="18"/>
      <c r="G70" s="18"/>
    </row>
    <row r="71" spans="1:7" ht="15">
      <c r="A71" s="19" t="str">
        <f>Referencias!B17</f>
        <v>Embalagem Padrão</v>
      </c>
      <c r="B71" s="26">
        <v>1</v>
      </c>
      <c r="C71" s="6">
        <f>Referencias!F17</f>
        <v>1.5</v>
      </c>
      <c r="D71" s="21">
        <f t="shared" si="3"/>
        <v>1.5</v>
      </c>
      <c r="E71" s="18"/>
      <c r="F71" s="18"/>
      <c r="G71" s="18"/>
    </row>
    <row r="72" spans="1:7" ht="15">
      <c r="A72" s="22" t="s">
        <v>312</v>
      </c>
      <c r="B72" s="27"/>
      <c r="C72" s="28"/>
      <c r="D72" s="23">
        <f>SUM(D59:D71)</f>
        <v>20.54</v>
      </c>
      <c r="E72" s="18"/>
      <c r="F72" s="18"/>
      <c r="G72" s="18"/>
    </row>
    <row r="73" spans="1:7" ht="15">
      <c r="A73" s="22" t="s">
        <v>313</v>
      </c>
      <c r="B73" s="24">
        <v>0.55000000000000004</v>
      </c>
      <c r="C73" s="21">
        <f>D72*B73</f>
        <v>11.297000000000001</v>
      </c>
      <c r="D73" s="23">
        <f>D72+C73</f>
        <v>31.837</v>
      </c>
      <c r="E73" s="92"/>
      <c r="F73" s="93"/>
      <c r="G73" s="93"/>
    </row>
    <row r="74" spans="1:7" ht="15">
      <c r="A74" s="22" t="s">
        <v>314</v>
      </c>
      <c r="B74" s="19" t="s">
        <v>322</v>
      </c>
      <c r="C74" s="27"/>
      <c r="D74" s="27"/>
      <c r="E74" s="7"/>
      <c r="F74" s="7"/>
      <c r="G74" s="7"/>
    </row>
    <row r="75" spans="1:7" ht="15">
      <c r="A75" s="22" t="s">
        <v>315</v>
      </c>
      <c r="B75" s="38">
        <v>42.9</v>
      </c>
      <c r="C75" s="27"/>
      <c r="D75" s="23">
        <v>35</v>
      </c>
      <c r="E75" s="16"/>
      <c r="F75" s="16"/>
      <c r="G75" s="16"/>
    </row>
    <row r="77" spans="1:7" ht="15">
      <c r="A77" s="89" t="s">
        <v>327</v>
      </c>
      <c r="B77" s="90"/>
      <c r="C77" s="91"/>
      <c r="D77" s="23">
        <v>35</v>
      </c>
      <c r="E77" s="18"/>
      <c r="F77" s="18"/>
    </row>
    <row r="78" spans="1:7" ht="15">
      <c r="A78" s="19" t="str">
        <f>Referencias!B58</f>
        <v>Papelão 16x22</v>
      </c>
      <c r="B78" s="26">
        <v>2</v>
      </c>
      <c r="C78" s="6">
        <f>Referencias!F58</f>
        <v>1.5</v>
      </c>
      <c r="D78" s="21">
        <f t="shared" ref="D78:D88" si="4">B78*C78</f>
        <v>3</v>
      </c>
      <c r="E78" s="18"/>
      <c r="F78" s="18"/>
      <c r="G78" s="18"/>
    </row>
    <row r="79" spans="1:7" ht="15">
      <c r="A79" s="19" t="str">
        <f>Referencias!B53</f>
        <v>Papel fotografico A4</v>
      </c>
      <c r="B79" s="26">
        <v>2</v>
      </c>
      <c r="C79" s="6">
        <f>Referencias!F53</f>
        <v>0.8</v>
      </c>
      <c r="D79" s="21">
        <f t="shared" si="4"/>
        <v>1.6</v>
      </c>
      <c r="E79" s="18"/>
      <c r="F79" s="18"/>
      <c r="G79" s="18"/>
    </row>
    <row r="80" spans="1:7" ht="15">
      <c r="A80" s="19" t="str">
        <f>Referencias!B31</f>
        <v>bopp</v>
      </c>
      <c r="B80" s="13">
        <f>0.3*2</f>
        <v>0.6</v>
      </c>
      <c r="C80" s="6">
        <f>Referencias!F31</f>
        <v>0.45</v>
      </c>
      <c r="D80" s="21">
        <f t="shared" si="4"/>
        <v>0.27</v>
      </c>
      <c r="E80" s="18"/>
      <c r="F80" s="18"/>
      <c r="G80" s="18"/>
    </row>
    <row r="81" spans="1:7" ht="15">
      <c r="A81" s="19" t="str">
        <f>Referencias!B48</f>
        <v>Papel guarda 15,5x21,5 offset adesivo</v>
      </c>
      <c r="B81" s="26">
        <v>2</v>
      </c>
      <c r="C81" s="6">
        <f>Referencias!F48</f>
        <v>0.75</v>
      </c>
      <c r="D81" s="21">
        <f t="shared" si="4"/>
        <v>1.5</v>
      </c>
      <c r="E81" s="18"/>
      <c r="F81" s="18"/>
      <c r="G81" s="18"/>
    </row>
    <row r="82" spans="1:7" ht="15">
      <c r="A82" s="19" t="str">
        <f>Referencias!B45</f>
        <v>miolo 90gr A5</v>
      </c>
      <c r="B82" s="26">
        <v>80</v>
      </c>
      <c r="C82" s="6">
        <f>Referencias!F45</f>
        <v>0.05</v>
      </c>
      <c r="D82" s="6">
        <f t="shared" si="4"/>
        <v>4</v>
      </c>
      <c r="E82" s="18"/>
      <c r="F82" s="18"/>
      <c r="G82" s="18"/>
    </row>
    <row r="83" spans="1:7" ht="15">
      <c r="A83" s="19" t="str">
        <f>Referencias!B19</f>
        <v>Espiral 29mm</v>
      </c>
      <c r="B83" s="26">
        <v>1</v>
      </c>
      <c r="C83" s="21">
        <f>Referencias!F19</f>
        <v>1.83</v>
      </c>
      <c r="D83" s="21">
        <f t="shared" si="4"/>
        <v>1.83</v>
      </c>
      <c r="E83" s="18"/>
      <c r="F83" s="18"/>
      <c r="G83" s="18"/>
    </row>
    <row r="84" spans="1:7" ht="15">
      <c r="A84" s="19" t="str">
        <f>Referencias!B22</f>
        <v>Impressao Capa A4</v>
      </c>
      <c r="B84" s="26">
        <v>2</v>
      </c>
      <c r="C84" s="6">
        <f>Referencias!F22</f>
        <v>0.5</v>
      </c>
      <c r="D84" s="21">
        <f t="shared" si="4"/>
        <v>1</v>
      </c>
      <c r="E84" s="18"/>
      <c r="F84" s="18"/>
      <c r="G84" s="18"/>
    </row>
    <row r="85" spans="1:7" ht="15">
      <c r="A85" s="19" t="str">
        <f>Referencias!B29</f>
        <v>Impressao Miolo Frente Verso A5</v>
      </c>
      <c r="B85" s="26">
        <v>80</v>
      </c>
      <c r="C85" s="6">
        <f>Referencias!F29</f>
        <v>0.06</v>
      </c>
      <c r="D85" s="21">
        <f t="shared" si="4"/>
        <v>4.8</v>
      </c>
      <c r="E85" s="18"/>
      <c r="F85" s="18"/>
      <c r="G85" s="18"/>
    </row>
    <row r="86" spans="1:7" ht="15">
      <c r="A86" s="19" t="str">
        <f>Referencias!B62</f>
        <v>Frete</v>
      </c>
      <c r="B86" s="27"/>
      <c r="C86" s="28">
        <f>Referencias!F62</f>
        <v>0</v>
      </c>
      <c r="D86" s="21">
        <f t="shared" si="4"/>
        <v>0</v>
      </c>
      <c r="E86" s="18"/>
      <c r="F86" s="18"/>
      <c r="G86" s="18"/>
    </row>
    <row r="87" spans="1:7" ht="15">
      <c r="A87" s="19" t="str">
        <f>Referencias!B15</f>
        <v>Desgaste Caderno A5</v>
      </c>
      <c r="B87" s="26">
        <v>1</v>
      </c>
      <c r="C87" s="6">
        <f>Referencias!F15</f>
        <v>2</v>
      </c>
      <c r="D87" s="21">
        <f t="shared" si="4"/>
        <v>2</v>
      </c>
      <c r="E87" s="18"/>
      <c r="F87" s="18"/>
      <c r="G87" s="18"/>
    </row>
    <row r="88" spans="1:7" ht="15">
      <c r="A88" s="19" t="str">
        <f>Referencias!B17</f>
        <v>Embalagem Padrão</v>
      </c>
      <c r="B88" s="26">
        <v>1</v>
      </c>
      <c r="C88" s="6">
        <f>Referencias!F17</f>
        <v>1.5</v>
      </c>
      <c r="D88" s="21">
        <f t="shared" si="4"/>
        <v>1.5</v>
      </c>
      <c r="E88" s="18"/>
      <c r="F88" s="18"/>
      <c r="G88" s="18"/>
    </row>
    <row r="89" spans="1:7" ht="15">
      <c r="A89" s="22" t="s">
        <v>312</v>
      </c>
      <c r="B89" s="27"/>
      <c r="C89" s="28"/>
      <c r="D89" s="23">
        <f>SUM(D78:D88)</f>
        <v>21.5</v>
      </c>
      <c r="E89" s="18"/>
      <c r="F89" s="18"/>
      <c r="G89" s="18"/>
    </row>
    <row r="90" spans="1:7" ht="15">
      <c r="A90" s="22" t="s">
        <v>313</v>
      </c>
      <c r="B90" s="24">
        <v>0.55000000000000004</v>
      </c>
      <c r="C90" s="21">
        <f>D89*B90</f>
        <v>11.825000000000001</v>
      </c>
      <c r="D90" s="23">
        <f>D89+C90</f>
        <v>33.325000000000003</v>
      </c>
      <c r="E90" s="92"/>
      <c r="F90" s="93"/>
      <c r="G90" s="93"/>
    </row>
    <row r="91" spans="1:7" ht="15">
      <c r="A91" s="22" t="s">
        <v>314</v>
      </c>
      <c r="B91" s="29" t="s">
        <v>322</v>
      </c>
      <c r="C91" s="30"/>
      <c r="D91" s="27"/>
      <c r="E91" s="7"/>
      <c r="F91" s="7"/>
      <c r="G91" s="7"/>
    </row>
    <row r="92" spans="1:7" ht="15">
      <c r="A92" s="22" t="s">
        <v>315</v>
      </c>
      <c r="B92" s="32">
        <v>39</v>
      </c>
      <c r="C92" s="30"/>
      <c r="D92" s="23">
        <v>40</v>
      </c>
      <c r="E92" s="16"/>
      <c r="F92" s="16"/>
      <c r="G92" s="16"/>
    </row>
    <row r="94" spans="1:7" ht="15">
      <c r="A94" s="89" t="s">
        <v>327</v>
      </c>
      <c r="B94" s="90"/>
      <c r="C94" s="91"/>
      <c r="D94" s="23">
        <v>35</v>
      </c>
      <c r="E94" s="18"/>
      <c r="F94" s="18"/>
    </row>
    <row r="95" spans="1:7" ht="15">
      <c r="A95" s="19" t="s">
        <v>420</v>
      </c>
      <c r="B95" s="26">
        <v>10</v>
      </c>
      <c r="C95" s="6">
        <f>68.37/50</f>
        <v>1.3674000000000002</v>
      </c>
      <c r="D95" s="21">
        <f t="shared" ref="D95:D105" si="5">B95*C95</f>
        <v>13.674000000000001</v>
      </c>
      <c r="E95" s="18"/>
      <c r="F95" s="18"/>
      <c r="G95" s="18"/>
    </row>
    <row r="96" spans="1:7" ht="15">
      <c r="A96" s="19" t="s">
        <v>421</v>
      </c>
      <c r="B96" s="26">
        <v>10</v>
      </c>
      <c r="C96" s="6">
        <v>0.2</v>
      </c>
      <c r="D96" s="21">
        <f t="shared" si="5"/>
        <v>2</v>
      </c>
      <c r="E96" s="18"/>
      <c r="F96" s="18"/>
      <c r="G96" s="18"/>
    </row>
    <row r="97" spans="1:7" ht="15">
      <c r="A97" s="19" t="s">
        <v>422</v>
      </c>
      <c r="B97" s="13">
        <v>10</v>
      </c>
      <c r="C97" s="6">
        <v>0.5</v>
      </c>
      <c r="D97" s="21">
        <f t="shared" si="5"/>
        <v>5</v>
      </c>
      <c r="E97" s="18"/>
      <c r="F97" s="18"/>
      <c r="G97" s="18"/>
    </row>
    <row r="98" spans="1:7" ht="15">
      <c r="A98" s="19" t="s">
        <v>90</v>
      </c>
      <c r="B98" s="26">
        <v>0</v>
      </c>
      <c r="C98" s="6">
        <v>0</v>
      </c>
      <c r="D98" s="21">
        <f t="shared" si="5"/>
        <v>0</v>
      </c>
      <c r="E98" s="18"/>
      <c r="F98" s="18"/>
      <c r="G98" s="18"/>
    </row>
    <row r="99" spans="1:7" ht="15">
      <c r="A99" s="19" t="s">
        <v>423</v>
      </c>
      <c r="B99" s="26">
        <v>1</v>
      </c>
      <c r="C99" s="6">
        <v>0.5</v>
      </c>
      <c r="D99" s="6">
        <f t="shared" si="5"/>
        <v>0.5</v>
      </c>
      <c r="E99" s="18"/>
      <c r="F99" s="18"/>
      <c r="G99" s="18"/>
    </row>
    <row r="100" spans="1:7" ht="15">
      <c r="A100" s="19" t="s">
        <v>295</v>
      </c>
      <c r="B100" s="26">
        <v>1</v>
      </c>
      <c r="C100" s="21">
        <v>1.5</v>
      </c>
      <c r="D100" s="21">
        <f t="shared" si="5"/>
        <v>1.5</v>
      </c>
      <c r="E100" s="18"/>
      <c r="F100" s="18"/>
      <c r="G100" s="18"/>
    </row>
    <row r="101" spans="1:7" ht="15">
      <c r="A101" s="19"/>
      <c r="B101" s="26"/>
      <c r="C101" s="6"/>
      <c r="D101" s="21">
        <f t="shared" si="5"/>
        <v>0</v>
      </c>
      <c r="E101" s="18"/>
      <c r="F101" s="18"/>
      <c r="G101" s="18"/>
    </row>
    <row r="102" spans="1:7" ht="15">
      <c r="A102" s="19"/>
      <c r="B102" s="26"/>
      <c r="C102" s="6"/>
      <c r="D102" s="21">
        <f t="shared" si="5"/>
        <v>0</v>
      </c>
      <c r="E102" s="18"/>
      <c r="F102" s="18"/>
      <c r="G102" s="18"/>
    </row>
    <row r="103" spans="1:7" ht="15">
      <c r="A103" s="19"/>
      <c r="B103" s="27"/>
      <c r="C103" s="28"/>
      <c r="D103" s="21">
        <f t="shared" si="5"/>
        <v>0</v>
      </c>
      <c r="E103" s="18"/>
      <c r="F103" s="18"/>
      <c r="G103" s="18"/>
    </row>
    <row r="104" spans="1:7" ht="15">
      <c r="A104" s="19"/>
      <c r="B104" s="26"/>
      <c r="C104" s="6"/>
      <c r="D104" s="21">
        <f t="shared" si="5"/>
        <v>0</v>
      </c>
      <c r="E104" s="18"/>
      <c r="F104" s="18"/>
      <c r="G104" s="18"/>
    </row>
    <row r="105" spans="1:7" ht="15">
      <c r="A105" s="19"/>
      <c r="B105" s="26"/>
      <c r="C105" s="6"/>
      <c r="D105" s="21">
        <f t="shared" si="5"/>
        <v>0</v>
      </c>
      <c r="E105" s="18"/>
      <c r="F105" s="18"/>
      <c r="G105" s="18"/>
    </row>
    <row r="106" spans="1:7" ht="15">
      <c r="A106" s="22" t="s">
        <v>312</v>
      </c>
      <c r="B106" s="27"/>
      <c r="C106" s="28"/>
      <c r="D106" s="23">
        <f>SUM(D95:D105)</f>
        <v>22.673999999999999</v>
      </c>
      <c r="E106" s="18"/>
      <c r="F106" s="18"/>
      <c r="G106" s="18"/>
    </row>
    <row r="107" spans="1:7" ht="15">
      <c r="A107" s="22" t="s">
        <v>313</v>
      </c>
      <c r="B107" s="24">
        <v>0.55000000000000004</v>
      </c>
      <c r="C107" s="21">
        <f>D106*B107</f>
        <v>12.470700000000001</v>
      </c>
      <c r="D107" s="23">
        <f>D106+C107</f>
        <v>35.1447</v>
      </c>
      <c r="E107" s="92"/>
      <c r="F107" s="93"/>
      <c r="G107" s="93"/>
    </row>
    <row r="108" spans="1:7" ht="15">
      <c r="A108" s="22" t="s">
        <v>314</v>
      </c>
      <c r="B108" s="29" t="s">
        <v>322</v>
      </c>
      <c r="C108" s="30"/>
      <c r="D108" s="27"/>
      <c r="E108" s="7"/>
      <c r="F108" s="7"/>
      <c r="G108" s="7"/>
    </row>
    <row r="109" spans="1:7" ht="15">
      <c r="A109" s="22" t="s">
        <v>315</v>
      </c>
      <c r="B109" s="32">
        <v>39</v>
      </c>
      <c r="C109" s="30"/>
      <c r="D109" s="23">
        <v>40</v>
      </c>
      <c r="E109" s="16"/>
      <c r="F109" s="16"/>
      <c r="G109" s="16"/>
    </row>
    <row r="111" spans="1:7" ht="15">
      <c r="A111" s="89" t="s">
        <v>327</v>
      </c>
      <c r="B111" s="90"/>
      <c r="C111" s="91"/>
      <c r="D111" s="23">
        <v>35</v>
      </c>
      <c r="E111" s="18"/>
      <c r="F111" s="18"/>
    </row>
    <row r="112" spans="1:7" ht="15">
      <c r="A112" s="19" t="s">
        <v>420</v>
      </c>
      <c r="B112" s="26">
        <v>10</v>
      </c>
      <c r="C112" s="6">
        <f>27.99/30</f>
        <v>0.93299999999999994</v>
      </c>
      <c r="D112" s="21">
        <f t="shared" ref="D112:D122" si="6">B112*C112</f>
        <v>9.33</v>
      </c>
      <c r="E112" s="18"/>
      <c r="F112" s="18"/>
      <c r="G112" s="18"/>
    </row>
    <row r="113" spans="1:7" ht="15">
      <c r="A113" s="19" t="s">
        <v>421</v>
      </c>
      <c r="B113" s="26">
        <v>5</v>
      </c>
      <c r="C113" s="6">
        <v>0.2</v>
      </c>
      <c r="D113" s="21">
        <f t="shared" si="6"/>
        <v>1</v>
      </c>
      <c r="E113" s="18"/>
      <c r="F113" s="18"/>
      <c r="G113" s="18"/>
    </row>
    <row r="114" spans="1:7" ht="15">
      <c r="A114" s="19" t="s">
        <v>422</v>
      </c>
      <c r="B114" s="13">
        <v>5</v>
      </c>
      <c r="C114" s="6">
        <v>0.5</v>
      </c>
      <c r="D114" s="21">
        <f t="shared" si="6"/>
        <v>2.5</v>
      </c>
      <c r="E114" s="18"/>
      <c r="F114" s="18"/>
      <c r="G114" s="18"/>
    </row>
    <row r="115" spans="1:7" ht="15">
      <c r="A115" s="19" t="s">
        <v>90</v>
      </c>
      <c r="B115" s="26">
        <v>0</v>
      </c>
      <c r="C115" s="6">
        <v>0</v>
      </c>
      <c r="D115" s="21">
        <f t="shared" si="6"/>
        <v>0</v>
      </c>
      <c r="E115" s="18"/>
      <c r="F115" s="18"/>
      <c r="G115" s="18"/>
    </row>
    <row r="116" spans="1:7" ht="15">
      <c r="A116" s="19" t="s">
        <v>423</v>
      </c>
      <c r="B116" s="26">
        <v>1</v>
      </c>
      <c r="C116" s="6">
        <v>0.5</v>
      </c>
      <c r="D116" s="6">
        <f t="shared" si="6"/>
        <v>0.5</v>
      </c>
      <c r="E116" s="18"/>
      <c r="F116" s="18"/>
      <c r="G116" s="18"/>
    </row>
    <row r="117" spans="1:7" ht="15">
      <c r="A117" s="19" t="s">
        <v>295</v>
      </c>
      <c r="B117" s="26">
        <v>1</v>
      </c>
      <c r="C117" s="21">
        <v>1.5</v>
      </c>
      <c r="D117" s="21">
        <f t="shared" si="6"/>
        <v>1.5</v>
      </c>
      <c r="E117" s="18"/>
      <c r="F117" s="18"/>
      <c r="G117" s="18"/>
    </row>
    <row r="118" spans="1:7" ht="15">
      <c r="A118" s="19"/>
      <c r="B118" s="26"/>
      <c r="C118" s="6"/>
      <c r="D118" s="21">
        <f t="shared" si="6"/>
        <v>0</v>
      </c>
      <c r="E118" s="18"/>
      <c r="F118" s="18"/>
      <c r="G118" s="18"/>
    </row>
    <row r="119" spans="1:7" ht="15">
      <c r="A119" s="19"/>
      <c r="B119" s="26"/>
      <c r="C119" s="6"/>
      <c r="D119" s="21">
        <f t="shared" si="6"/>
        <v>0</v>
      </c>
      <c r="E119" s="18"/>
      <c r="F119" s="18"/>
      <c r="G119" s="18"/>
    </row>
    <row r="120" spans="1:7" ht="15">
      <c r="A120" s="19"/>
      <c r="B120" s="27"/>
      <c r="C120" s="28"/>
      <c r="D120" s="21">
        <f t="shared" si="6"/>
        <v>0</v>
      </c>
      <c r="E120" s="18"/>
      <c r="F120" s="18"/>
      <c r="G120" s="18"/>
    </row>
    <row r="121" spans="1:7" ht="15">
      <c r="A121" s="19"/>
      <c r="B121" s="26"/>
      <c r="C121" s="6"/>
      <c r="D121" s="21">
        <f t="shared" si="6"/>
        <v>0</v>
      </c>
      <c r="E121" s="18"/>
      <c r="F121" s="18"/>
      <c r="G121" s="18"/>
    </row>
    <row r="122" spans="1:7" ht="15">
      <c r="A122" s="19"/>
      <c r="B122" s="26"/>
      <c r="C122" s="6"/>
      <c r="D122" s="21">
        <f t="shared" si="6"/>
        <v>0</v>
      </c>
      <c r="E122" s="18"/>
      <c r="F122" s="18"/>
      <c r="G122" s="18"/>
    </row>
    <row r="123" spans="1:7" ht="15">
      <c r="A123" s="22" t="s">
        <v>312</v>
      </c>
      <c r="B123" s="27"/>
      <c r="C123" s="28"/>
      <c r="D123" s="23">
        <f>SUM(D112:D122)</f>
        <v>14.83</v>
      </c>
      <c r="E123" s="18"/>
      <c r="F123" s="18"/>
      <c r="G123" s="18"/>
    </row>
    <row r="124" spans="1:7" ht="15">
      <c r="A124" s="22" t="s">
        <v>313</v>
      </c>
      <c r="B124" s="24">
        <v>0.55000000000000004</v>
      </c>
      <c r="C124" s="21">
        <f>D123*B124</f>
        <v>8.1565000000000012</v>
      </c>
      <c r="D124" s="23">
        <f>D123+C124</f>
        <v>22.986499999999999</v>
      </c>
      <c r="E124" s="92"/>
      <c r="F124" s="93"/>
      <c r="G124" s="93"/>
    </row>
    <row r="125" spans="1:7" ht="15">
      <c r="A125" s="22" t="s">
        <v>314</v>
      </c>
      <c r="B125" s="29" t="s">
        <v>322</v>
      </c>
      <c r="C125" s="30"/>
      <c r="D125" s="27"/>
      <c r="E125" s="7"/>
      <c r="F125" s="7"/>
      <c r="G125" s="7"/>
    </row>
    <row r="126" spans="1:7" ht="15">
      <c r="A126" s="22" t="s">
        <v>315</v>
      </c>
      <c r="B126" s="32">
        <v>39</v>
      </c>
      <c r="C126" s="30"/>
      <c r="D126" s="23">
        <v>40</v>
      </c>
      <c r="E126" s="16"/>
      <c r="F126" s="16"/>
      <c r="G126" s="16"/>
    </row>
  </sheetData>
  <mergeCells count="14">
    <mergeCell ref="A111:C111"/>
    <mergeCell ref="E124:G124"/>
    <mergeCell ref="A1:C1"/>
    <mergeCell ref="E16:G16"/>
    <mergeCell ref="A20:C20"/>
    <mergeCell ref="E35:G35"/>
    <mergeCell ref="A39:C39"/>
    <mergeCell ref="E54:G54"/>
    <mergeCell ref="A58:C58"/>
    <mergeCell ref="E73:G73"/>
    <mergeCell ref="A77:C77"/>
    <mergeCell ref="E90:G90"/>
    <mergeCell ref="A94:C94"/>
    <mergeCell ref="E107:G107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FF00"/>
    <outlinePr summaryBelow="0" summaryRight="0"/>
  </sheetPr>
  <dimension ref="A1:J150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10" ht="15.75" customHeight="1">
      <c r="A1" s="89" t="s">
        <v>329</v>
      </c>
      <c r="B1" s="90"/>
      <c r="C1" s="91"/>
      <c r="D1" s="3">
        <v>79.900000000000006</v>
      </c>
    </row>
    <row r="2" spans="1:10" ht="15.75" customHeight="1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4" si="0">B2*C2</f>
        <v>3</v>
      </c>
    </row>
    <row r="3" spans="1:10" ht="15.75" customHeight="1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</row>
    <row r="4" spans="1:10" ht="15.75" customHeight="1">
      <c r="A4" s="12" t="str">
        <f>Referencias!B31</f>
        <v>bopp</v>
      </c>
      <c r="B4" s="13">
        <f>0.3*2</f>
        <v>0.6</v>
      </c>
      <c r="C4" s="6">
        <f>Referencias!F31</f>
        <v>0.45</v>
      </c>
      <c r="D4" s="6">
        <f t="shared" si="0"/>
        <v>0.27</v>
      </c>
    </row>
    <row r="5" spans="1:10" ht="15.75" customHeight="1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</row>
    <row r="6" spans="1:10" ht="15.75" customHeight="1">
      <c r="A6" s="12" t="str">
        <f>Referencias!B40</f>
        <v>miolo 75gr A5</v>
      </c>
      <c r="B6" s="13">
        <v>204</v>
      </c>
      <c r="C6" s="6">
        <f>Referencias!F40</f>
        <v>0.03</v>
      </c>
      <c r="D6" s="6">
        <f t="shared" si="0"/>
        <v>6.12</v>
      </c>
    </row>
    <row r="7" spans="1:10" ht="15.75" customHeight="1">
      <c r="A7" s="12" t="str">
        <f>Referencias!B34</f>
        <v>Bolso  offset 180gr</v>
      </c>
      <c r="B7" s="13">
        <v>1</v>
      </c>
      <c r="C7" s="6">
        <f>Referencias!F34</f>
        <v>0.32</v>
      </c>
      <c r="D7" s="6">
        <f t="shared" si="0"/>
        <v>0.32</v>
      </c>
    </row>
    <row r="8" spans="1:10" ht="15.75" customHeight="1">
      <c r="A8" s="12" t="str">
        <f>Referencias!B120</f>
        <v>Espiral 33mm plastico</v>
      </c>
      <c r="B8" s="13">
        <v>1</v>
      </c>
      <c r="C8" s="6">
        <f>Referencias!F120</f>
        <v>2.48</v>
      </c>
      <c r="D8" s="6">
        <f t="shared" si="0"/>
        <v>2.48</v>
      </c>
    </row>
    <row r="9" spans="1:10" ht="15.75" customHeight="1">
      <c r="A9" s="12" t="str">
        <f>Referencias!B22</f>
        <v>Impressao Capa A4</v>
      </c>
      <c r="B9" s="13">
        <v>2</v>
      </c>
      <c r="C9" s="6">
        <f>Referencias!F22</f>
        <v>0.5</v>
      </c>
      <c r="D9" s="6">
        <f t="shared" si="0"/>
        <v>1</v>
      </c>
    </row>
    <row r="10" spans="1:10" ht="15.75" customHeight="1">
      <c r="A10" s="12" t="str">
        <f>Referencias!B29</f>
        <v>Impressao Miolo Frente Verso A5</v>
      </c>
      <c r="B10" s="13">
        <v>204</v>
      </c>
      <c r="C10" s="6">
        <f>Referencias!F29</f>
        <v>0.06</v>
      </c>
      <c r="D10" s="6">
        <f t="shared" si="0"/>
        <v>12.24</v>
      </c>
    </row>
    <row r="11" spans="1:10" ht="15.75" customHeight="1">
      <c r="A11" s="12" t="str">
        <f>Referencias!B21</f>
        <v>Impressao Bolso A4</v>
      </c>
      <c r="B11" s="13">
        <v>1</v>
      </c>
      <c r="C11" s="6">
        <f>Referencias!F21</f>
        <v>1</v>
      </c>
      <c r="D11" s="6">
        <f t="shared" si="0"/>
        <v>1</v>
      </c>
    </row>
    <row r="12" spans="1:10" ht="15.75" customHeight="1">
      <c r="A12" s="12" t="str">
        <f>Referencias!B62</f>
        <v>Frete</v>
      </c>
      <c r="B12" s="12"/>
      <c r="C12" s="6">
        <f>Referencias!F62</f>
        <v>0</v>
      </c>
      <c r="D12" s="6">
        <f t="shared" si="0"/>
        <v>0</v>
      </c>
      <c r="F12" s="39"/>
      <c r="G12" s="39"/>
      <c r="H12" s="39"/>
      <c r="I12" s="39"/>
      <c r="J12" s="39"/>
    </row>
    <row r="13" spans="1:10" ht="15.75" customHeight="1">
      <c r="A13" s="12" t="str">
        <f>Referencias!B13</f>
        <v>Desgaste Agenda</v>
      </c>
      <c r="B13" s="13">
        <v>1</v>
      </c>
      <c r="C13" s="6">
        <f>Referencias!F13</f>
        <v>1</v>
      </c>
      <c r="D13" s="6">
        <f t="shared" si="0"/>
        <v>1</v>
      </c>
    </row>
    <row r="14" spans="1:10" ht="15.75" customHeight="1">
      <c r="A14" s="12" t="str">
        <f>Referencias!B17</f>
        <v>Embalagem Padrão</v>
      </c>
      <c r="B14" s="13">
        <v>1</v>
      </c>
      <c r="C14" s="6">
        <f>Referencias!F17</f>
        <v>1.5</v>
      </c>
      <c r="D14" s="6">
        <f t="shared" si="0"/>
        <v>1.5</v>
      </c>
    </row>
    <row r="15" spans="1:10" ht="15.75" customHeight="1">
      <c r="A15" s="2" t="s">
        <v>312</v>
      </c>
      <c r="B15" s="12"/>
      <c r="C15" s="10"/>
      <c r="D15" s="3">
        <f>SUM(D2:D14)</f>
        <v>32.03</v>
      </c>
      <c r="E15" s="39"/>
      <c r="F15" s="39"/>
    </row>
    <row r="16" spans="1:10" ht="15.75" customHeight="1">
      <c r="A16" s="2" t="s">
        <v>313</v>
      </c>
      <c r="B16" s="15">
        <v>0.55000000000000004</v>
      </c>
      <c r="C16" s="6">
        <f>D15*B16</f>
        <v>17.616500000000002</v>
      </c>
      <c r="D16" s="3">
        <f>D15+C16</f>
        <v>49.646500000000003</v>
      </c>
      <c r="E16" s="92"/>
      <c r="F16" s="93"/>
      <c r="G16" s="93"/>
    </row>
    <row r="17" spans="1:7" ht="15.75" customHeight="1">
      <c r="A17" s="2" t="s">
        <v>314</v>
      </c>
      <c r="B17" s="40" t="s">
        <v>330</v>
      </c>
      <c r="C17" s="36" t="s">
        <v>331</v>
      </c>
      <c r="D17" s="10"/>
      <c r="E17" s="7"/>
      <c r="F17" s="7"/>
      <c r="G17" s="7"/>
    </row>
    <row r="18" spans="1:7" ht="15.75" customHeight="1">
      <c r="A18" s="2" t="s">
        <v>315</v>
      </c>
      <c r="B18" s="37">
        <v>69</v>
      </c>
      <c r="C18" s="41">
        <v>75</v>
      </c>
      <c r="D18" s="3">
        <v>89.9</v>
      </c>
      <c r="E18" s="16"/>
      <c r="F18" s="16"/>
      <c r="G18" s="16"/>
    </row>
    <row r="20" spans="1:7" ht="15.75" customHeight="1">
      <c r="A20" s="89" t="s">
        <v>332</v>
      </c>
      <c r="B20" s="90"/>
      <c r="C20" s="91"/>
      <c r="D20" s="3">
        <v>55.9</v>
      </c>
    </row>
    <row r="21" spans="1:7" ht="15.75" customHeight="1">
      <c r="A21" s="12" t="str">
        <f>Referencias!B57</f>
        <v>Papelão 15x18,5</v>
      </c>
      <c r="B21" s="13">
        <v>2</v>
      </c>
      <c r="C21" s="6">
        <f>Referencias!F57</f>
        <v>1.5</v>
      </c>
      <c r="D21" s="6">
        <f t="shared" ref="D21:D33" si="1">B21*C21</f>
        <v>3</v>
      </c>
    </row>
    <row r="22" spans="1:7" ht="15.75" customHeight="1">
      <c r="A22" s="12" t="str">
        <f>Referencias!B53</f>
        <v>Papel fotografico A4</v>
      </c>
      <c r="B22" s="13">
        <v>2</v>
      </c>
      <c r="C22" s="6">
        <f>Referencias!F53</f>
        <v>0.8</v>
      </c>
      <c r="D22" s="6">
        <f t="shared" si="1"/>
        <v>1.6</v>
      </c>
    </row>
    <row r="23" spans="1:7" ht="15.75" customHeight="1">
      <c r="A23" s="12" t="str">
        <f>Referencias!B31</f>
        <v>bopp</v>
      </c>
      <c r="B23" s="13">
        <f>0.3*2</f>
        <v>0.6</v>
      </c>
      <c r="C23" s="6">
        <f>Referencias!F31</f>
        <v>0.45</v>
      </c>
      <c r="D23" s="6">
        <f t="shared" si="1"/>
        <v>0.27</v>
      </c>
    </row>
    <row r="24" spans="1:7" ht="15.75" customHeight="1">
      <c r="A24" s="12" t="str">
        <f>Referencias!B47</f>
        <v>Papel guarda 14,5x18 offset adesivo</v>
      </c>
      <c r="B24" s="13">
        <v>2</v>
      </c>
      <c r="C24" s="6">
        <f>Referencias!F47</f>
        <v>0.75</v>
      </c>
      <c r="D24" s="6">
        <f t="shared" si="1"/>
        <v>1.5</v>
      </c>
    </row>
    <row r="25" spans="1:7" ht="15.75" customHeight="1">
      <c r="A25" s="12" t="str">
        <f>Referencias!B46</f>
        <v>miolo 90gr A5 14x18</v>
      </c>
      <c r="B25" s="13">
        <v>114</v>
      </c>
      <c r="C25" s="6">
        <f>Referencias!F46</f>
        <v>0.05</v>
      </c>
      <c r="D25" s="6">
        <f t="shared" si="1"/>
        <v>5.7</v>
      </c>
    </row>
    <row r="26" spans="1:7" ht="15.75" customHeight="1">
      <c r="A26" s="12" t="str">
        <f>Referencias!B34</f>
        <v>Bolso  offset 180gr</v>
      </c>
      <c r="B26" s="13">
        <v>1</v>
      </c>
      <c r="C26" s="6">
        <f>Referencias!F34</f>
        <v>0.32</v>
      </c>
      <c r="D26" s="6">
        <f t="shared" si="1"/>
        <v>0.32</v>
      </c>
    </row>
    <row r="27" spans="1:7" ht="15.75" customHeight="1">
      <c r="A27" s="12" t="str">
        <f>Referencias!B19</f>
        <v>Espiral 29mm</v>
      </c>
      <c r="B27" s="13">
        <v>1</v>
      </c>
      <c r="C27" s="6">
        <f>Referencias!F19</f>
        <v>1.83</v>
      </c>
      <c r="D27" s="6">
        <f t="shared" si="1"/>
        <v>1.83</v>
      </c>
    </row>
    <row r="28" spans="1:7" ht="15.75" customHeight="1">
      <c r="A28" s="12" t="str">
        <f>Referencias!B22</f>
        <v>Impressao Capa A4</v>
      </c>
      <c r="B28" s="13">
        <v>2</v>
      </c>
      <c r="C28" s="6">
        <f>Referencias!F22</f>
        <v>0.5</v>
      </c>
      <c r="D28" s="6">
        <f t="shared" si="1"/>
        <v>1</v>
      </c>
    </row>
    <row r="29" spans="1:7" ht="15.75" customHeight="1">
      <c r="A29" s="12" t="str">
        <f>Referencias!B29</f>
        <v>Impressao Miolo Frente Verso A5</v>
      </c>
      <c r="B29" s="13">
        <v>114</v>
      </c>
      <c r="C29" s="6">
        <f>Referencias!F29</f>
        <v>0.06</v>
      </c>
      <c r="D29" s="6">
        <f t="shared" si="1"/>
        <v>6.84</v>
      </c>
    </row>
    <row r="30" spans="1:7" ht="15.75" customHeight="1">
      <c r="A30" s="12" t="str">
        <f>Referencias!B21</f>
        <v>Impressao Bolso A4</v>
      </c>
      <c r="B30" s="13">
        <v>1</v>
      </c>
      <c r="C30" s="6">
        <f>Referencias!F21</f>
        <v>1</v>
      </c>
      <c r="D30" s="6">
        <f t="shared" si="1"/>
        <v>1</v>
      </c>
    </row>
    <row r="31" spans="1:7" ht="15.75" customHeight="1">
      <c r="A31" s="12" t="str">
        <f>Referencias!B62</f>
        <v>Frete</v>
      </c>
      <c r="B31" s="12"/>
      <c r="C31" s="6">
        <f>Referencias!F62</f>
        <v>0</v>
      </c>
      <c r="D31" s="6">
        <f t="shared" si="1"/>
        <v>0</v>
      </c>
    </row>
    <row r="32" spans="1:7" ht="15.75" customHeight="1">
      <c r="A32" s="12" t="str">
        <f>Referencias!B13</f>
        <v>Desgaste Agenda</v>
      </c>
      <c r="B32" s="13">
        <v>1</v>
      </c>
      <c r="C32" s="6">
        <f>Referencias!F13</f>
        <v>1</v>
      </c>
      <c r="D32" s="6">
        <f t="shared" si="1"/>
        <v>1</v>
      </c>
    </row>
    <row r="33" spans="1:7" ht="15.75" customHeight="1">
      <c r="A33" s="12" t="str">
        <f>Referencias!B17</f>
        <v>Embalagem Padrão</v>
      </c>
      <c r="B33" s="13">
        <v>1</v>
      </c>
      <c r="C33" s="6">
        <f>Referencias!F17</f>
        <v>1.5</v>
      </c>
      <c r="D33" s="6">
        <f t="shared" si="1"/>
        <v>1.5</v>
      </c>
    </row>
    <row r="34" spans="1:7" ht="15.75" customHeight="1">
      <c r="A34" s="2" t="s">
        <v>312</v>
      </c>
      <c r="B34" s="12"/>
      <c r="C34" s="10"/>
      <c r="D34" s="3">
        <f>SUM(D21:D33)</f>
        <v>25.560000000000002</v>
      </c>
      <c r="E34" s="39"/>
      <c r="F34" s="39"/>
    </row>
    <row r="35" spans="1:7" ht="15.75" customHeight="1">
      <c r="A35" s="2" t="s">
        <v>313</v>
      </c>
      <c r="B35" s="15">
        <v>0.55000000000000004</v>
      </c>
      <c r="C35" s="6">
        <f>D34*B35</f>
        <v>14.058000000000002</v>
      </c>
      <c r="D35" s="3">
        <f>D34+C35</f>
        <v>39.618000000000002</v>
      </c>
      <c r="E35" s="92"/>
      <c r="F35" s="93"/>
      <c r="G35" s="93"/>
    </row>
    <row r="36" spans="1:7" ht="15.75" customHeight="1">
      <c r="A36" s="2" t="s">
        <v>314</v>
      </c>
      <c r="B36" s="40" t="s">
        <v>330</v>
      </c>
      <c r="C36" s="36" t="s">
        <v>331</v>
      </c>
      <c r="D36" s="10"/>
      <c r="E36" s="7"/>
      <c r="F36" s="7"/>
      <c r="G36" s="7"/>
    </row>
    <row r="37" spans="1:7" ht="15">
      <c r="A37" s="2" t="s">
        <v>315</v>
      </c>
      <c r="B37" s="37">
        <v>54.9</v>
      </c>
      <c r="C37" s="41">
        <v>59</v>
      </c>
      <c r="D37" s="3">
        <v>65.900000000000006</v>
      </c>
      <c r="E37" s="16"/>
      <c r="F37" s="16"/>
      <c r="G37" s="16"/>
    </row>
    <row r="39" spans="1:7" ht="15">
      <c r="A39" s="89" t="s">
        <v>333</v>
      </c>
      <c r="B39" s="90"/>
      <c r="C39" s="91"/>
      <c r="D39" s="3">
        <v>85.9</v>
      </c>
    </row>
    <row r="40" spans="1:7" ht="15">
      <c r="A40" s="12" t="str">
        <f>Referencias!B58</f>
        <v>Papelão 16x22</v>
      </c>
      <c r="B40" s="13">
        <v>2</v>
      </c>
      <c r="C40" s="6">
        <f>Referencias!F58</f>
        <v>1.5</v>
      </c>
      <c r="D40" s="6">
        <f t="shared" ref="D40:D52" si="2">B40*C40</f>
        <v>3</v>
      </c>
    </row>
    <row r="41" spans="1:7" ht="15">
      <c r="A41" s="12" t="str">
        <f>Referencias!B53</f>
        <v>Papel fotografico A4</v>
      </c>
      <c r="B41" s="13">
        <v>2</v>
      </c>
      <c r="C41" s="6">
        <f>Referencias!F53</f>
        <v>0.8</v>
      </c>
      <c r="D41" s="6">
        <f t="shared" si="2"/>
        <v>1.6</v>
      </c>
    </row>
    <row r="42" spans="1:7" ht="15">
      <c r="A42" s="12" t="str">
        <f>Referencias!B31</f>
        <v>bopp</v>
      </c>
      <c r="B42" s="13">
        <f>0.3*2</f>
        <v>0.6</v>
      </c>
      <c r="C42" s="6">
        <f>Referencias!F31</f>
        <v>0.45</v>
      </c>
      <c r="D42" s="6">
        <f t="shared" si="2"/>
        <v>0.27</v>
      </c>
    </row>
    <row r="43" spans="1:7" ht="15">
      <c r="A43" s="12" t="str">
        <f>Referencias!B48</f>
        <v>Papel guarda 15,5x21,5 offset adesivo</v>
      </c>
      <c r="B43" s="13">
        <v>2</v>
      </c>
      <c r="C43" s="6">
        <f>Referencias!F48</f>
        <v>0.75</v>
      </c>
      <c r="D43" s="6">
        <f t="shared" si="2"/>
        <v>1.5</v>
      </c>
    </row>
    <row r="44" spans="1:7" ht="15">
      <c r="A44" s="12" t="str">
        <f>Referencias!B40</f>
        <v>miolo 75gr A5</v>
      </c>
      <c r="B44" s="13">
        <v>209</v>
      </c>
      <c r="C44" s="6">
        <f>Referencias!F40</f>
        <v>0.03</v>
      </c>
      <c r="D44" s="6">
        <f t="shared" si="2"/>
        <v>6.27</v>
      </c>
    </row>
    <row r="45" spans="1:7" ht="15">
      <c r="A45" s="12" t="str">
        <f>Referencias!B34</f>
        <v>Bolso  offset 180gr</v>
      </c>
      <c r="B45" s="13">
        <v>1</v>
      </c>
      <c r="C45" s="6">
        <f>Referencias!F34</f>
        <v>0.32</v>
      </c>
      <c r="D45" s="6">
        <f t="shared" si="2"/>
        <v>0.32</v>
      </c>
    </row>
    <row r="46" spans="1:7" ht="15">
      <c r="A46" s="12" t="str">
        <f>Referencias!B120</f>
        <v>Espiral 33mm plastico</v>
      </c>
      <c r="B46" s="13">
        <v>1</v>
      </c>
      <c r="C46" s="6">
        <f>Referencias!F120</f>
        <v>2.48</v>
      </c>
      <c r="D46" s="6">
        <f t="shared" si="2"/>
        <v>2.48</v>
      </c>
    </row>
    <row r="47" spans="1:7" ht="15">
      <c r="A47" s="12" t="str">
        <f>Referencias!B22</f>
        <v>Impressao Capa A4</v>
      </c>
      <c r="B47" s="13">
        <v>2</v>
      </c>
      <c r="C47" s="6">
        <f>Referencias!F22</f>
        <v>0.5</v>
      </c>
      <c r="D47" s="6">
        <f t="shared" si="2"/>
        <v>1</v>
      </c>
    </row>
    <row r="48" spans="1:7" ht="15">
      <c r="A48" s="12" t="str">
        <f>Referencias!B29</f>
        <v>Impressao Miolo Frente Verso A5</v>
      </c>
      <c r="B48" s="13">
        <v>209</v>
      </c>
      <c r="C48" s="6">
        <f>Referencias!F29</f>
        <v>0.06</v>
      </c>
      <c r="D48" s="6">
        <f t="shared" si="2"/>
        <v>12.54</v>
      </c>
    </row>
    <row r="49" spans="1:7" ht="15">
      <c r="A49" s="12" t="str">
        <f>Referencias!B21</f>
        <v>Impressao Bolso A4</v>
      </c>
      <c r="B49" s="13">
        <v>1</v>
      </c>
      <c r="C49" s="6">
        <f>Referencias!F21</f>
        <v>1</v>
      </c>
      <c r="D49" s="6">
        <f t="shared" si="2"/>
        <v>1</v>
      </c>
    </row>
    <row r="50" spans="1:7" ht="15">
      <c r="A50" s="12" t="str">
        <f>Referencias!B62</f>
        <v>Frete</v>
      </c>
      <c r="B50" s="12"/>
      <c r="C50" s="6">
        <f>Referencias!F62</f>
        <v>0</v>
      </c>
      <c r="D50" s="6">
        <f t="shared" si="2"/>
        <v>0</v>
      </c>
    </row>
    <row r="51" spans="1:7" ht="15">
      <c r="A51" s="12" t="str">
        <f>Referencias!B13</f>
        <v>Desgaste Agenda</v>
      </c>
      <c r="B51" s="13">
        <v>1</v>
      </c>
      <c r="C51" s="6">
        <f>Referencias!F13</f>
        <v>1</v>
      </c>
      <c r="D51" s="6">
        <f t="shared" si="2"/>
        <v>1</v>
      </c>
    </row>
    <row r="52" spans="1:7" ht="15">
      <c r="A52" s="12" t="str">
        <f>Referencias!B17</f>
        <v>Embalagem Padrão</v>
      </c>
      <c r="B52" s="13">
        <v>1</v>
      </c>
      <c r="C52" s="6">
        <f>Referencias!F17</f>
        <v>1.5</v>
      </c>
      <c r="D52" s="6">
        <f t="shared" si="2"/>
        <v>1.5</v>
      </c>
    </row>
    <row r="53" spans="1:7" ht="15">
      <c r="A53" s="2" t="s">
        <v>312</v>
      </c>
      <c r="B53" s="12"/>
      <c r="C53" s="6"/>
      <c r="D53" s="3">
        <f>SUM(D40:D52)</f>
        <v>32.479999999999997</v>
      </c>
    </row>
    <row r="54" spans="1:7" ht="15">
      <c r="A54" s="2" t="s">
        <v>313</v>
      </c>
      <c r="B54" s="15">
        <v>0.55000000000000004</v>
      </c>
      <c r="C54" s="6">
        <f>D53*B54</f>
        <v>17.864000000000001</v>
      </c>
      <c r="D54" s="3">
        <f>D53+C54</f>
        <v>50.343999999999994</v>
      </c>
      <c r="E54" s="92"/>
      <c r="F54" s="93"/>
      <c r="G54" s="93"/>
    </row>
    <row r="55" spans="1:7" ht="15">
      <c r="A55" s="2" t="s">
        <v>314</v>
      </c>
      <c r="B55" s="40" t="s">
        <v>330</v>
      </c>
      <c r="C55" s="36"/>
      <c r="D55" s="10"/>
      <c r="E55" s="7"/>
      <c r="F55" s="7"/>
      <c r="G55" s="7"/>
    </row>
    <row r="56" spans="1:7" ht="15">
      <c r="A56" s="2" t="s">
        <v>315</v>
      </c>
      <c r="B56" s="37">
        <v>84.9</v>
      </c>
      <c r="C56" s="36"/>
      <c r="D56" s="3">
        <v>85.9</v>
      </c>
      <c r="E56" s="16"/>
      <c r="F56" s="16"/>
      <c r="G56" s="16"/>
    </row>
    <row r="58" spans="1:7" ht="15">
      <c r="A58" s="89" t="s">
        <v>334</v>
      </c>
      <c r="B58" s="90"/>
      <c r="C58" s="91"/>
      <c r="D58" s="3">
        <v>25</v>
      </c>
    </row>
    <row r="59" spans="1:7" ht="15">
      <c r="A59" s="12" t="str">
        <f>Referencias!B56</f>
        <v>Papelão 15,5x21,5+2,5x21,5</v>
      </c>
      <c r="B59" s="13">
        <v>2</v>
      </c>
      <c r="C59" s="6">
        <f>Referencias!F56</f>
        <v>1.5</v>
      </c>
      <c r="D59" s="6">
        <f t="shared" ref="D59:D69" si="3">B59*C59</f>
        <v>3</v>
      </c>
    </row>
    <row r="60" spans="1:7" ht="15">
      <c r="A60" s="12" t="str">
        <f>Referencias!B52</f>
        <v>Papel offset adesivo A4</v>
      </c>
      <c r="B60" s="13">
        <v>2</v>
      </c>
      <c r="C60" s="6">
        <f>Referencias!F52</f>
        <v>0.75</v>
      </c>
      <c r="D60" s="6">
        <f t="shared" si="3"/>
        <v>1.5</v>
      </c>
    </row>
    <row r="61" spans="1:7" ht="15">
      <c r="A61" s="12" t="str">
        <f>Referencias!B31</f>
        <v>bopp</v>
      </c>
      <c r="B61" s="13">
        <f>0.3*2</f>
        <v>0.6</v>
      </c>
      <c r="C61" s="6">
        <f>Referencias!F31</f>
        <v>0.45</v>
      </c>
      <c r="D61" s="6">
        <f t="shared" si="3"/>
        <v>0.27</v>
      </c>
    </row>
    <row r="62" spans="1:7" ht="15">
      <c r="A62" s="12" t="str">
        <f>Referencias!B50</f>
        <v>Papel guarda 20x20 offset adesivo</v>
      </c>
      <c r="B62" s="13">
        <v>2</v>
      </c>
      <c r="C62" s="6">
        <f>Referencias!F50</f>
        <v>0.75</v>
      </c>
      <c r="D62" s="6">
        <f t="shared" si="3"/>
        <v>1.5</v>
      </c>
    </row>
    <row r="63" spans="1:7" ht="15">
      <c r="A63" s="12" t="str">
        <f>Referencias!B36</f>
        <v>miolo 180g A5</v>
      </c>
      <c r="B63" s="13">
        <v>12</v>
      </c>
      <c r="C63" s="6">
        <f>Referencias!F36</f>
        <v>0.16</v>
      </c>
      <c r="D63" s="6">
        <f t="shared" si="3"/>
        <v>1.92</v>
      </c>
    </row>
    <row r="64" spans="1:7" ht="15">
      <c r="A64" s="12" t="str">
        <f>Referencias!B18</f>
        <v>Espiral 17mm</v>
      </c>
      <c r="B64" s="13">
        <v>1</v>
      </c>
      <c r="C64" s="6">
        <f>Referencias!F18</f>
        <v>0.52</v>
      </c>
      <c r="D64" s="6">
        <f t="shared" si="3"/>
        <v>0.52</v>
      </c>
    </row>
    <row r="65" spans="1:7" ht="15">
      <c r="A65" s="12" t="str">
        <f>Referencias!B22</f>
        <v>Impressao Capa A4</v>
      </c>
      <c r="B65" s="13">
        <v>2</v>
      </c>
      <c r="C65" s="6">
        <f>Referencias!F22</f>
        <v>0.5</v>
      </c>
      <c r="D65" s="6">
        <f t="shared" si="3"/>
        <v>1</v>
      </c>
    </row>
    <row r="66" spans="1:7" ht="15">
      <c r="A66" s="12" t="str">
        <f>Referencias!B29</f>
        <v>Impressao Miolo Frente Verso A5</v>
      </c>
      <c r="B66" s="13">
        <v>12</v>
      </c>
      <c r="C66" s="6">
        <f>Referencias!F29</f>
        <v>0.06</v>
      </c>
      <c r="D66" s="6">
        <f t="shared" si="3"/>
        <v>0.72</v>
      </c>
    </row>
    <row r="67" spans="1:7" ht="15">
      <c r="A67" s="12" t="str">
        <f>Referencias!B62</f>
        <v>Frete</v>
      </c>
      <c r="B67" s="12"/>
      <c r="C67" s="6">
        <f>Referencias!F62</f>
        <v>0</v>
      </c>
      <c r="D67" s="6">
        <f t="shared" si="3"/>
        <v>0</v>
      </c>
    </row>
    <row r="68" spans="1:7" ht="15">
      <c r="A68" s="12" t="str">
        <f>Referencias!B14</f>
        <v>Desgaste Bloquinho/Outros</v>
      </c>
      <c r="B68" s="13">
        <v>1</v>
      </c>
      <c r="C68" s="6">
        <f>Referencias!F14</f>
        <v>0.5</v>
      </c>
      <c r="D68" s="6">
        <f t="shared" si="3"/>
        <v>0.5</v>
      </c>
    </row>
    <row r="69" spans="1:7" ht="15">
      <c r="A69" s="12" t="str">
        <f>Referencias!B17</f>
        <v>Embalagem Padrão</v>
      </c>
      <c r="B69" s="13">
        <v>1</v>
      </c>
      <c r="C69" s="6">
        <f>Referencias!F17</f>
        <v>1.5</v>
      </c>
      <c r="D69" s="6">
        <f t="shared" si="3"/>
        <v>1.5</v>
      </c>
    </row>
    <row r="70" spans="1:7" ht="15">
      <c r="A70" s="2" t="s">
        <v>312</v>
      </c>
      <c r="B70" s="12"/>
      <c r="C70" s="10"/>
      <c r="D70" s="3">
        <f>SUM(D59:D69)</f>
        <v>12.43</v>
      </c>
    </row>
    <row r="71" spans="1:7" ht="15">
      <c r="A71" s="2" t="s">
        <v>313</v>
      </c>
      <c r="B71" s="15">
        <v>0.55000000000000004</v>
      </c>
      <c r="C71" s="6">
        <f>D70*B71</f>
        <v>6.8365</v>
      </c>
      <c r="D71" s="3">
        <f>D70+C71</f>
        <v>19.266500000000001</v>
      </c>
      <c r="E71" s="92"/>
      <c r="F71" s="93"/>
      <c r="G71" s="93"/>
    </row>
    <row r="72" spans="1:7" ht="15">
      <c r="A72" s="2" t="s">
        <v>314</v>
      </c>
      <c r="B72" s="40" t="s">
        <v>330</v>
      </c>
      <c r="C72" s="36"/>
      <c r="D72" s="10"/>
      <c r="E72" s="7"/>
      <c r="F72" s="7"/>
      <c r="G72" s="7"/>
    </row>
    <row r="73" spans="1:7" ht="15">
      <c r="A73" s="2" t="s">
        <v>315</v>
      </c>
      <c r="B73" s="37">
        <v>24.9</v>
      </c>
      <c r="C73" s="41"/>
      <c r="D73" s="3">
        <v>25</v>
      </c>
      <c r="E73" s="16"/>
      <c r="F73" s="16"/>
      <c r="G73" s="16"/>
    </row>
    <row r="75" spans="1:7" ht="15">
      <c r="A75" s="89" t="s">
        <v>336</v>
      </c>
      <c r="B75" s="90"/>
      <c r="C75" s="91"/>
      <c r="D75" s="3">
        <v>15</v>
      </c>
    </row>
    <row r="76" spans="1:7" ht="15">
      <c r="A76" s="12" t="str">
        <f>Referencias!B61</f>
        <v>Papelão 9,5x10,5+9,5x2</v>
      </c>
      <c r="B76" s="13">
        <v>1</v>
      </c>
      <c r="C76" s="6">
        <f>Referencias!F61</f>
        <v>1.5</v>
      </c>
      <c r="D76" s="6">
        <f t="shared" ref="D76:D85" si="4">B76*C76</f>
        <v>1.5</v>
      </c>
    </row>
    <row r="77" spans="1:7" ht="15">
      <c r="A77" s="12" t="str">
        <f>Referencias!B51</f>
        <v>Papel offset adesivo + guarda</v>
      </c>
      <c r="B77" s="13">
        <v>1</v>
      </c>
      <c r="C77" s="6">
        <f>Referencias!F51</f>
        <v>0.75</v>
      </c>
      <c r="D77" s="6">
        <f t="shared" si="4"/>
        <v>0.75</v>
      </c>
    </row>
    <row r="78" spans="1:7" ht="15">
      <c r="A78" s="12" t="str">
        <f>Referencias!B31</f>
        <v>bopp</v>
      </c>
      <c r="B78" s="13">
        <f>0.3</f>
        <v>0.3</v>
      </c>
      <c r="C78" s="6">
        <f>Referencias!F31</f>
        <v>0.45</v>
      </c>
      <c r="D78" s="6">
        <f t="shared" si="4"/>
        <v>0.13500000000000001</v>
      </c>
    </row>
    <row r="79" spans="1:7" ht="15">
      <c r="A79" s="12" t="str">
        <f>Referencias!B37</f>
        <v>miolo 180gr A4</v>
      </c>
      <c r="B79" s="13">
        <v>3</v>
      </c>
      <c r="C79" s="6">
        <f>Referencias!F37</f>
        <v>0.32</v>
      </c>
      <c r="D79" s="6">
        <f t="shared" si="4"/>
        <v>0.96</v>
      </c>
    </row>
    <row r="80" spans="1:7" ht="15">
      <c r="A80" s="12" t="str">
        <f>Referencias!B18</f>
        <v>Espiral 17mm</v>
      </c>
      <c r="B80" s="13">
        <v>0.34</v>
      </c>
      <c r="C80" s="6">
        <f>Referencias!F18</f>
        <v>0.52</v>
      </c>
      <c r="D80" s="6">
        <f t="shared" si="4"/>
        <v>0.17680000000000001</v>
      </c>
    </row>
    <row r="81" spans="1:7" ht="15">
      <c r="A81" s="12" t="str">
        <f>Referencias!B22</f>
        <v>Impressao Capa A4</v>
      </c>
      <c r="B81" s="13">
        <v>1</v>
      </c>
      <c r="C81" s="6">
        <f>Referencias!F22</f>
        <v>0.5</v>
      </c>
      <c r="D81" s="6">
        <f t="shared" si="4"/>
        <v>0.5</v>
      </c>
    </row>
    <row r="82" spans="1:7" ht="15">
      <c r="A82" s="12" t="str">
        <f>Referencias!B63</f>
        <v>Impressao Miolo Frente A4</v>
      </c>
      <c r="B82" s="13">
        <v>3</v>
      </c>
      <c r="C82" s="6">
        <f>Referencias!F63</f>
        <v>0.06</v>
      </c>
      <c r="D82" s="6">
        <f t="shared" si="4"/>
        <v>0.18</v>
      </c>
    </row>
    <row r="83" spans="1:7" ht="15">
      <c r="A83" s="12" t="str">
        <f>Referencias!B62</f>
        <v>Frete</v>
      </c>
      <c r="B83" s="12"/>
      <c r="C83" s="6">
        <f>Referencias!F62</f>
        <v>0</v>
      </c>
      <c r="D83" s="6">
        <f t="shared" si="4"/>
        <v>0</v>
      </c>
    </row>
    <row r="84" spans="1:7" ht="15">
      <c r="A84" s="12" t="str">
        <f>Referencias!B14</f>
        <v>Desgaste Bloquinho/Outros</v>
      </c>
      <c r="B84" s="13">
        <v>1</v>
      </c>
      <c r="C84" s="6">
        <f>Referencias!F14</f>
        <v>0.5</v>
      </c>
      <c r="D84" s="6">
        <f t="shared" si="4"/>
        <v>0.5</v>
      </c>
    </row>
    <row r="85" spans="1:7" ht="15">
      <c r="A85" s="12" t="str">
        <f>Referencias!B17</f>
        <v>Embalagem Padrão</v>
      </c>
      <c r="B85" s="13">
        <v>1</v>
      </c>
      <c r="C85" s="6">
        <f>Referencias!F17</f>
        <v>1.5</v>
      </c>
      <c r="D85" s="6">
        <f t="shared" si="4"/>
        <v>1.5</v>
      </c>
    </row>
    <row r="86" spans="1:7" ht="15">
      <c r="A86" s="2" t="s">
        <v>312</v>
      </c>
      <c r="B86" s="12"/>
      <c r="C86" s="10"/>
      <c r="D86" s="3">
        <f>SUM(D76:D85)</f>
        <v>6.2017999999999995</v>
      </c>
      <c r="E86" s="39"/>
      <c r="F86" s="39"/>
    </row>
    <row r="87" spans="1:7" ht="15">
      <c r="A87" s="2" t="s">
        <v>313</v>
      </c>
      <c r="B87" s="15">
        <v>0.55000000000000004</v>
      </c>
      <c r="C87" s="6">
        <f>D86*B87</f>
        <v>3.41099</v>
      </c>
      <c r="D87" s="3">
        <f>D86+C87</f>
        <v>9.6127900000000004</v>
      </c>
      <c r="E87" s="92"/>
      <c r="F87" s="93"/>
      <c r="G87" s="93"/>
    </row>
    <row r="88" spans="1:7" ht="15">
      <c r="A88" s="2" t="s">
        <v>314</v>
      </c>
      <c r="B88" s="40" t="s">
        <v>330</v>
      </c>
      <c r="C88" s="36" t="s">
        <v>331</v>
      </c>
      <c r="D88" s="10"/>
      <c r="E88" s="7"/>
      <c r="F88" s="7"/>
      <c r="G88" s="7"/>
    </row>
    <row r="89" spans="1:7" ht="15">
      <c r="A89" s="2" t="s">
        <v>315</v>
      </c>
      <c r="B89" s="37">
        <v>18.899999999999999</v>
      </c>
      <c r="C89" s="41">
        <v>11.9</v>
      </c>
      <c r="D89" s="3">
        <v>15</v>
      </c>
      <c r="E89" s="16"/>
      <c r="F89" s="16"/>
      <c r="G89" s="16"/>
    </row>
    <row r="91" spans="1:7" ht="15">
      <c r="A91" s="89" t="s">
        <v>337</v>
      </c>
      <c r="B91" s="90"/>
      <c r="C91" s="91"/>
      <c r="D91" s="11">
        <v>30</v>
      </c>
    </row>
    <row r="92" spans="1:7" ht="15">
      <c r="A92" s="12" t="str">
        <f>Referencias!B54</f>
        <v>Papel Kraft A4</v>
      </c>
      <c r="B92" s="13">
        <v>1</v>
      </c>
      <c r="C92" s="6">
        <f>Referencias!F54</f>
        <v>0.54</v>
      </c>
      <c r="D92" s="6">
        <f t="shared" ref="D92:D99" si="5">B92*C92</f>
        <v>0.54</v>
      </c>
    </row>
    <row r="93" spans="1:7" ht="15">
      <c r="A93" s="12" t="str">
        <f>Referencias!B41</f>
        <v>Sulfite 75g A4</v>
      </c>
      <c r="B93" s="13">
        <v>27</v>
      </c>
      <c r="C93" s="6">
        <f>Referencias!F41</f>
        <v>0.06</v>
      </c>
      <c r="D93" s="6">
        <f t="shared" si="5"/>
        <v>1.6199999999999999</v>
      </c>
    </row>
    <row r="94" spans="1:7" ht="15">
      <c r="A94" s="12" t="str">
        <f>Referencias!B5</f>
        <v>Cordão Encerado Settanyl</v>
      </c>
      <c r="B94" s="13">
        <v>1.2</v>
      </c>
      <c r="C94" s="6">
        <f>Referencias!F5</f>
        <v>0.16</v>
      </c>
      <c r="D94" s="6">
        <f t="shared" si="5"/>
        <v>0.192</v>
      </c>
    </row>
    <row r="95" spans="1:7" ht="15">
      <c r="A95" s="12" t="str">
        <f>Referencias!B88</f>
        <v>Linha Circulo Maxi Mouline</v>
      </c>
      <c r="B95" s="13">
        <v>4</v>
      </c>
      <c r="C95" s="6">
        <f>Referencias!F88</f>
        <v>0.18</v>
      </c>
      <c r="D95" s="6">
        <f t="shared" si="5"/>
        <v>0.72</v>
      </c>
    </row>
    <row r="96" spans="1:7" ht="15">
      <c r="A96" s="12" t="str">
        <f>Referencias!B28</f>
        <v>Impressao Miolo Frente Verso A4</v>
      </c>
      <c r="B96" s="12">
        <v>27</v>
      </c>
      <c r="C96" s="6">
        <f>Referencias!F28</f>
        <v>0.12</v>
      </c>
      <c r="D96" s="6">
        <f t="shared" si="5"/>
        <v>3.2399999999999998</v>
      </c>
    </row>
    <row r="97" spans="1:7" ht="15">
      <c r="A97" s="12" t="str">
        <f>Referencias!B62</f>
        <v>Frete</v>
      </c>
      <c r="B97" s="12"/>
      <c r="C97" s="6">
        <f>Referencias!F62</f>
        <v>0</v>
      </c>
      <c r="D97" s="6">
        <f t="shared" si="5"/>
        <v>0</v>
      </c>
    </row>
    <row r="98" spans="1:7" ht="15">
      <c r="A98" s="12" t="str">
        <f>Referencias!B14</f>
        <v>Desgaste Bloquinho/Outros</v>
      </c>
      <c r="B98" s="13">
        <v>1</v>
      </c>
      <c r="C98" s="6">
        <f>Referencias!F14</f>
        <v>0.5</v>
      </c>
      <c r="D98" s="6">
        <f t="shared" si="5"/>
        <v>0.5</v>
      </c>
    </row>
    <row r="99" spans="1:7" ht="15">
      <c r="A99" s="12" t="str">
        <f>Referencias!B17</f>
        <v>Embalagem Padrão</v>
      </c>
      <c r="B99" s="13">
        <v>1</v>
      </c>
      <c r="C99" s="6">
        <f>Referencias!F17</f>
        <v>1.5</v>
      </c>
      <c r="D99" s="6">
        <f t="shared" si="5"/>
        <v>1.5</v>
      </c>
    </row>
    <row r="100" spans="1:7" ht="15">
      <c r="A100" s="2" t="s">
        <v>312</v>
      </c>
      <c r="B100" s="12"/>
      <c r="C100" s="6"/>
      <c r="D100" s="3">
        <f>SUM(D92:D99)</f>
        <v>8.3119999999999994</v>
      </c>
    </row>
    <row r="101" spans="1:7" ht="15">
      <c r="A101" s="2" t="s">
        <v>313</v>
      </c>
      <c r="B101" s="15">
        <v>0.55000000000000004</v>
      </c>
      <c r="C101" s="6">
        <f>D100*B101</f>
        <v>4.5716000000000001</v>
      </c>
      <c r="D101" s="3">
        <f>D100+C101</f>
        <v>12.883599999999999</v>
      </c>
      <c r="E101" s="92"/>
      <c r="F101" s="93"/>
      <c r="G101" s="93"/>
    </row>
    <row r="102" spans="1:7" ht="15">
      <c r="A102" s="2" t="s">
        <v>314</v>
      </c>
      <c r="B102" s="12"/>
      <c r="C102" s="10"/>
      <c r="D102" s="10"/>
      <c r="E102" s="7"/>
      <c r="F102" s="7"/>
      <c r="G102" s="7"/>
    </row>
    <row r="103" spans="1:7" ht="15">
      <c r="A103" s="2" t="s">
        <v>315</v>
      </c>
      <c r="B103" s="12"/>
      <c r="C103" s="10"/>
      <c r="D103" s="11">
        <v>30</v>
      </c>
      <c r="E103" s="16"/>
      <c r="F103" s="16"/>
      <c r="G103" s="16"/>
    </row>
    <row r="105" spans="1:7" ht="15">
      <c r="A105" s="89" t="s">
        <v>338</v>
      </c>
      <c r="B105" s="90"/>
      <c r="C105" s="91"/>
      <c r="D105" s="11">
        <v>119.9</v>
      </c>
    </row>
    <row r="106" spans="1:7" ht="15">
      <c r="A106" s="12" t="str">
        <f>Referencias!B59</f>
        <v>Papelão 17x22</v>
      </c>
      <c r="B106" s="13">
        <v>2</v>
      </c>
      <c r="C106" s="6">
        <f>Referencias!F59</f>
        <v>1.5</v>
      </c>
      <c r="D106" s="6">
        <f t="shared" ref="D106:D125" si="6">B106*C106</f>
        <v>3</v>
      </c>
    </row>
    <row r="107" spans="1:7" ht="15">
      <c r="A107" s="12" t="str">
        <f>Referencias!B53</f>
        <v>Papel fotografico A4</v>
      </c>
      <c r="B107" s="13">
        <v>2</v>
      </c>
      <c r="C107" s="6">
        <f>Referencias!F53</f>
        <v>0.8</v>
      </c>
      <c r="D107" s="6">
        <f t="shared" si="6"/>
        <v>1.6</v>
      </c>
    </row>
    <row r="108" spans="1:7" ht="15">
      <c r="A108" s="12" t="str">
        <f>Referencias!B31</f>
        <v>bopp</v>
      </c>
      <c r="B108" s="13">
        <f>0.3*2</f>
        <v>0.6</v>
      </c>
      <c r="C108" s="6">
        <f>Referencias!F31</f>
        <v>0.45</v>
      </c>
      <c r="D108" s="6">
        <f t="shared" si="6"/>
        <v>0.27</v>
      </c>
    </row>
    <row r="109" spans="1:7" ht="15">
      <c r="A109" s="12" t="str">
        <f>Referencias!B49</f>
        <v>Papel guarda 16,5x21,5 offset adesivo</v>
      </c>
      <c r="B109" s="13">
        <v>2</v>
      </c>
      <c r="C109" s="6">
        <f>Referencias!F49</f>
        <v>0.75</v>
      </c>
      <c r="D109" s="6">
        <f t="shared" si="6"/>
        <v>1.5</v>
      </c>
      <c r="F109" s="39"/>
    </row>
    <row r="110" spans="1:7" ht="15">
      <c r="A110" s="12" t="str">
        <f>Referencias!B45</f>
        <v>miolo 90gr A5</v>
      </c>
      <c r="B110" s="13">
        <v>90</v>
      </c>
      <c r="C110" s="6">
        <f>Referencias!F45</f>
        <v>0.05</v>
      </c>
      <c r="D110" s="6">
        <f t="shared" si="6"/>
        <v>4.5</v>
      </c>
    </row>
    <row r="111" spans="1:7" ht="15">
      <c r="A111" s="12" t="str">
        <f>Referencias!B35</f>
        <v>divisórias offset 180gr</v>
      </c>
      <c r="B111" s="13">
        <v>12</v>
      </c>
      <c r="C111" s="6">
        <f>Referencias!F35</f>
        <v>0.32</v>
      </c>
      <c r="D111" s="6">
        <f t="shared" si="6"/>
        <v>3.84</v>
      </c>
    </row>
    <row r="112" spans="1:7" ht="15">
      <c r="A112" s="12" t="str">
        <f>Referencias!B43</f>
        <v>Marcador 90g A6</v>
      </c>
      <c r="B112" s="13">
        <v>1</v>
      </c>
      <c r="C112" s="6">
        <f>Referencias!F43</f>
        <v>0.03</v>
      </c>
      <c r="D112" s="6">
        <f t="shared" si="6"/>
        <v>0.03</v>
      </c>
    </row>
    <row r="113" spans="1:7" ht="15">
      <c r="A113" s="12" t="str">
        <f>Referencias!B33</f>
        <v>Polaseal marcador 1/4 A4</v>
      </c>
      <c r="B113" s="13">
        <v>1</v>
      </c>
      <c r="C113" s="6">
        <f>Referencias!F33</f>
        <v>0.02</v>
      </c>
      <c r="D113" s="6">
        <f t="shared" si="6"/>
        <v>0.02</v>
      </c>
    </row>
    <row r="114" spans="1:7" ht="15">
      <c r="A114" s="12" t="str">
        <f>Referencias!B34</f>
        <v>Bolso  offset 180gr</v>
      </c>
      <c r="B114" s="13">
        <v>1</v>
      </c>
      <c r="C114" s="6">
        <f>Referencias!F34</f>
        <v>0.32</v>
      </c>
      <c r="D114" s="6">
        <f t="shared" si="6"/>
        <v>0.32</v>
      </c>
    </row>
    <row r="115" spans="1:7" ht="15">
      <c r="A115" s="12" t="str">
        <f>Referencias!B32</f>
        <v>Polaseal A4 Divisórias</v>
      </c>
      <c r="B115" s="13">
        <v>12</v>
      </c>
      <c r="C115" s="6">
        <f>Referencias!F32</f>
        <v>0.09</v>
      </c>
      <c r="D115" s="6">
        <f t="shared" si="6"/>
        <v>1.08</v>
      </c>
    </row>
    <row r="116" spans="1:7" ht="15">
      <c r="A116" s="12" t="str">
        <f>Referencias!B6</f>
        <v>Elastico</v>
      </c>
      <c r="B116" s="13">
        <v>0.32</v>
      </c>
      <c r="C116" s="6">
        <f>Referencias!F6</f>
        <v>0.69</v>
      </c>
      <c r="D116" s="6">
        <f t="shared" si="6"/>
        <v>0.2208</v>
      </c>
    </row>
    <row r="117" spans="1:7" ht="15">
      <c r="A117" s="12" t="str">
        <f>Referencias!B120</f>
        <v>Espiral 33mm plastico</v>
      </c>
      <c r="B117" s="13">
        <v>1</v>
      </c>
      <c r="C117" s="6">
        <f>Referencias!F120</f>
        <v>2.48</v>
      </c>
      <c r="D117" s="6">
        <f t="shared" si="6"/>
        <v>2.48</v>
      </c>
    </row>
    <row r="118" spans="1:7" ht="15">
      <c r="A118" s="12" t="str">
        <f>Referencias!B22</f>
        <v>Impressao Capa A4</v>
      </c>
      <c r="B118" s="13">
        <v>2</v>
      </c>
      <c r="C118" s="6">
        <f>Referencias!F22</f>
        <v>0.5</v>
      </c>
      <c r="D118" s="6">
        <f t="shared" si="6"/>
        <v>1</v>
      </c>
    </row>
    <row r="119" spans="1:7" ht="15">
      <c r="A119" s="12" t="str">
        <f>Referencias!B64</f>
        <v>Impressao Divisória A4</v>
      </c>
      <c r="B119" s="13">
        <v>12</v>
      </c>
      <c r="C119" s="6">
        <f>Referencias!F64</f>
        <v>1</v>
      </c>
      <c r="D119" s="6">
        <f t="shared" si="6"/>
        <v>12</v>
      </c>
    </row>
    <row r="120" spans="1:7" ht="15">
      <c r="A120" s="12" t="str">
        <f>Referencias!B29</f>
        <v>Impressao Miolo Frente Verso A5</v>
      </c>
      <c r="B120" s="13">
        <v>100</v>
      </c>
      <c r="C120" s="6">
        <f>Referencias!F29</f>
        <v>0.06</v>
      </c>
      <c r="D120" s="6">
        <f t="shared" si="6"/>
        <v>6</v>
      </c>
    </row>
    <row r="121" spans="1:7" ht="15">
      <c r="A121" s="12" t="str">
        <f>Referencias!B25</f>
        <v>Impressao Marcador Frente Verso 1/4 A4</v>
      </c>
      <c r="B121" s="13">
        <v>1</v>
      </c>
      <c r="C121" s="6">
        <f>Referencias!F25</f>
        <v>0.25</v>
      </c>
      <c r="D121" s="6">
        <f t="shared" si="6"/>
        <v>0.25</v>
      </c>
    </row>
    <row r="122" spans="1:7" ht="15">
      <c r="A122" s="12" t="str">
        <f>Referencias!B21</f>
        <v>Impressao Bolso A4</v>
      </c>
      <c r="B122" s="13">
        <v>1</v>
      </c>
      <c r="C122" s="6">
        <f>Referencias!F21</f>
        <v>1</v>
      </c>
      <c r="D122" s="6">
        <f t="shared" si="6"/>
        <v>1</v>
      </c>
    </row>
    <row r="123" spans="1:7" ht="15">
      <c r="A123" s="12" t="str">
        <f>Referencias!B62</f>
        <v>Frete</v>
      </c>
      <c r="B123" s="12"/>
      <c r="C123" s="6">
        <f>Referencias!F62</f>
        <v>0</v>
      </c>
      <c r="D123" s="6">
        <f t="shared" si="6"/>
        <v>0</v>
      </c>
    </row>
    <row r="124" spans="1:7" ht="15">
      <c r="A124" s="12" t="str">
        <f>Referencias!B16</f>
        <v>Desgaste Planner/Album/Caderno Universitario</v>
      </c>
      <c r="B124" s="13">
        <v>1</v>
      </c>
      <c r="C124" s="6">
        <f>Referencias!F16</f>
        <v>3</v>
      </c>
      <c r="D124" s="6">
        <f t="shared" si="6"/>
        <v>3</v>
      </c>
    </row>
    <row r="125" spans="1:7" ht="15">
      <c r="A125" s="12" t="str">
        <f>Referencias!B17</f>
        <v>Embalagem Padrão</v>
      </c>
      <c r="B125" s="13">
        <v>1</v>
      </c>
      <c r="C125" s="6">
        <f>Referencias!F17</f>
        <v>1.5</v>
      </c>
      <c r="D125" s="6">
        <f t="shared" si="6"/>
        <v>1.5</v>
      </c>
    </row>
    <row r="126" spans="1:7" ht="15">
      <c r="A126" s="2" t="s">
        <v>312</v>
      </c>
      <c r="B126" s="12"/>
      <c r="C126" s="10"/>
      <c r="D126" s="3">
        <f>SUM(D106:D122)</f>
        <v>39.110799999999998</v>
      </c>
    </row>
    <row r="127" spans="1:7" ht="15">
      <c r="A127" s="2" t="s">
        <v>313</v>
      </c>
      <c r="B127" s="15">
        <v>0.55000000000000004</v>
      </c>
      <c r="C127" s="6">
        <f>D126*B127</f>
        <v>21.510940000000002</v>
      </c>
      <c r="D127" s="3">
        <f>D126+C127</f>
        <v>60.621740000000003</v>
      </c>
      <c r="E127" s="92"/>
      <c r="F127" s="93"/>
      <c r="G127" s="93"/>
    </row>
    <row r="128" spans="1:7" ht="15">
      <c r="A128" s="2" t="s">
        <v>314</v>
      </c>
      <c r="B128" s="40" t="s">
        <v>330</v>
      </c>
      <c r="C128" s="36" t="s">
        <v>331</v>
      </c>
      <c r="D128" s="10"/>
      <c r="E128" s="7"/>
      <c r="F128" s="7"/>
      <c r="G128" s="7"/>
    </row>
    <row r="129" spans="1:7" ht="15">
      <c r="A129" s="2" t="s">
        <v>315</v>
      </c>
      <c r="B129" s="37">
        <v>119.9</v>
      </c>
      <c r="C129" s="41">
        <v>155</v>
      </c>
      <c r="D129" s="11">
        <v>119.9</v>
      </c>
      <c r="E129" s="16"/>
      <c r="F129" s="16"/>
      <c r="G129" s="16"/>
    </row>
    <row r="131" spans="1:7" ht="15">
      <c r="A131" s="89" t="s">
        <v>339</v>
      </c>
      <c r="B131" s="90"/>
      <c r="C131" s="91"/>
      <c r="D131" s="11">
        <v>20</v>
      </c>
    </row>
    <row r="132" spans="1:7" ht="15">
      <c r="A132" s="12" t="str">
        <f>Referencias!B149</f>
        <v>Couro 11 cm x 15 cm</v>
      </c>
      <c r="B132" s="13">
        <v>38</v>
      </c>
      <c r="C132" s="6">
        <f>Referencias!F149</f>
        <v>0.02</v>
      </c>
      <c r="D132" s="6">
        <f t="shared" ref="D132:D138" si="7">B132*C132</f>
        <v>0.76</v>
      </c>
    </row>
    <row r="133" spans="1:7" ht="15">
      <c r="A133" s="12" t="str">
        <f>Referencias!B68</f>
        <v>miolo 75gr A7</v>
      </c>
      <c r="B133" s="13">
        <v>60</v>
      </c>
      <c r="C133" s="6">
        <f>Referencias!F68</f>
        <v>0.01</v>
      </c>
      <c r="D133" s="6">
        <f t="shared" si="7"/>
        <v>0.6</v>
      </c>
    </row>
    <row r="134" spans="1:7" ht="15">
      <c r="A134" s="12" t="str">
        <f>Referencias!B5</f>
        <v>Cordão Encerado Settanyl</v>
      </c>
      <c r="B134" s="13">
        <v>0.54</v>
      </c>
      <c r="C134" s="6">
        <f>Referencias!F5</f>
        <v>0.16</v>
      </c>
      <c r="D134" s="6">
        <f t="shared" si="7"/>
        <v>8.6400000000000005E-2</v>
      </c>
    </row>
    <row r="135" spans="1:7" ht="15">
      <c r="A135" s="12" t="str">
        <f>Referencias!B150</f>
        <v>Impressao Miolo Frente Verso A7</v>
      </c>
      <c r="B135" s="13">
        <v>60</v>
      </c>
      <c r="C135" s="6">
        <f>Referencias!F150</f>
        <v>0.02</v>
      </c>
      <c r="D135" s="6">
        <f t="shared" si="7"/>
        <v>1.2</v>
      </c>
    </row>
    <row r="136" spans="1:7" ht="15">
      <c r="A136" s="12" t="str">
        <f>Referencias!B62</f>
        <v>Frete</v>
      </c>
      <c r="B136" s="12"/>
      <c r="C136" s="6">
        <f>Referencias!F62</f>
        <v>0</v>
      </c>
      <c r="D136" s="6">
        <f t="shared" si="7"/>
        <v>0</v>
      </c>
    </row>
    <row r="137" spans="1:7" ht="15">
      <c r="A137" s="12" t="str">
        <f>Referencias!B14</f>
        <v>Desgaste Bloquinho/Outros</v>
      </c>
      <c r="B137" s="13">
        <v>1</v>
      </c>
      <c r="C137" s="6">
        <f>Referencias!F14</f>
        <v>0.5</v>
      </c>
      <c r="D137" s="6">
        <f t="shared" si="7"/>
        <v>0.5</v>
      </c>
    </row>
    <row r="138" spans="1:7" ht="15">
      <c r="A138" s="12" t="str">
        <f>Referencias!B17</f>
        <v>Embalagem Padrão</v>
      </c>
      <c r="B138" s="13">
        <v>1</v>
      </c>
      <c r="C138" s="6">
        <f>Referencias!F17</f>
        <v>1.5</v>
      </c>
      <c r="D138" s="6">
        <f t="shared" si="7"/>
        <v>1.5</v>
      </c>
    </row>
    <row r="139" spans="1:7" ht="15">
      <c r="A139" s="2" t="s">
        <v>312</v>
      </c>
      <c r="B139" s="12"/>
      <c r="C139" s="6"/>
      <c r="D139" s="3">
        <f>SUM(D132:D138)</f>
        <v>4.6463999999999999</v>
      </c>
      <c r="E139" s="39"/>
      <c r="F139" s="39"/>
    </row>
    <row r="140" spans="1:7" ht="15">
      <c r="A140" s="2" t="s">
        <v>313</v>
      </c>
      <c r="B140" s="15">
        <v>0.55000000000000004</v>
      </c>
      <c r="C140" s="6">
        <f>D139*B140</f>
        <v>2.55552</v>
      </c>
      <c r="D140" s="3">
        <f>D139+C140</f>
        <v>7.2019199999999994</v>
      </c>
      <c r="E140" s="92"/>
      <c r="F140" s="93"/>
      <c r="G140" s="93"/>
    </row>
    <row r="141" spans="1:7" ht="15">
      <c r="A141" s="2" t="s">
        <v>314</v>
      </c>
      <c r="B141" s="12"/>
      <c r="C141" s="10"/>
      <c r="D141" s="10"/>
      <c r="E141" s="7"/>
      <c r="F141" s="7"/>
      <c r="G141" s="7"/>
    </row>
    <row r="142" spans="1:7" ht="15">
      <c r="A142" s="2" t="s">
        <v>315</v>
      </c>
      <c r="B142" s="12"/>
      <c r="C142" s="10"/>
      <c r="D142" s="11">
        <v>20</v>
      </c>
      <c r="E142" s="16"/>
      <c r="F142" s="16"/>
      <c r="G142" s="16"/>
    </row>
    <row r="147" spans="1:7" ht="15">
      <c r="A147" s="73"/>
      <c r="B147" s="7"/>
      <c r="C147" s="39"/>
      <c r="D147" s="35"/>
    </row>
    <row r="148" spans="1:7" ht="15">
      <c r="A148" s="73"/>
      <c r="B148" s="86"/>
      <c r="D148" s="35"/>
      <c r="E148" s="92"/>
      <c r="F148" s="93"/>
      <c r="G148" s="93"/>
    </row>
    <row r="149" spans="1:7" ht="15">
      <c r="A149" s="73"/>
      <c r="B149" s="7"/>
      <c r="E149" s="7"/>
      <c r="F149" s="7"/>
      <c r="G149" s="7"/>
    </row>
    <row r="150" spans="1:7" ht="15">
      <c r="A150" s="73"/>
      <c r="B150" s="7"/>
      <c r="D150" s="61"/>
      <c r="E150" s="7"/>
      <c r="F150" s="7"/>
      <c r="G150" s="7"/>
    </row>
  </sheetData>
  <mergeCells count="17">
    <mergeCell ref="A1:C1"/>
    <mergeCell ref="E16:G16"/>
    <mergeCell ref="A20:C20"/>
    <mergeCell ref="E35:G35"/>
    <mergeCell ref="A39:C39"/>
    <mergeCell ref="E54:G54"/>
    <mergeCell ref="A58:C58"/>
    <mergeCell ref="E127:G127"/>
    <mergeCell ref="E140:G140"/>
    <mergeCell ref="E148:G148"/>
    <mergeCell ref="E71:G71"/>
    <mergeCell ref="A75:C75"/>
    <mergeCell ref="E87:G87"/>
    <mergeCell ref="A91:C91"/>
    <mergeCell ref="E101:G101"/>
    <mergeCell ref="A105:C105"/>
    <mergeCell ref="A131:C131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9900"/>
    <outlinePr summaryBelow="0" summaryRight="0"/>
  </sheetPr>
  <dimension ref="A1:R60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  <col min="14" max="14" width="7.28515625" customWidth="1"/>
    <col min="15" max="16" width="2.85546875" customWidth="1"/>
    <col min="17" max="17" width="4.7109375" customWidth="1"/>
    <col min="18" max="18" width="4.28515625" customWidth="1"/>
  </cols>
  <sheetData>
    <row r="1" spans="1:18" ht="15.75" customHeight="1">
      <c r="A1" s="89" t="s">
        <v>350</v>
      </c>
      <c r="B1" s="90"/>
      <c r="C1" s="91"/>
      <c r="D1" s="11">
        <v>5</v>
      </c>
      <c r="N1" s="7"/>
      <c r="O1" s="31"/>
      <c r="P1" s="31"/>
      <c r="Q1" s="47"/>
      <c r="R1" s="31"/>
    </row>
    <row r="2" spans="1:18" ht="15.75" customHeight="1">
      <c r="A2" s="12" t="str">
        <f>Referencias!B146</f>
        <v>Papel Kraft 20x5</v>
      </c>
      <c r="B2" s="13">
        <v>1</v>
      </c>
      <c r="C2" s="6">
        <f>Referencias!F146</f>
        <v>0.09</v>
      </c>
      <c r="D2" s="6">
        <f t="shared" ref="D2:D6" si="0">B2*C2</f>
        <v>0.09</v>
      </c>
      <c r="N2" s="7"/>
      <c r="O2" s="31"/>
      <c r="P2" s="31"/>
      <c r="Q2" s="47"/>
      <c r="R2" s="31"/>
    </row>
    <row r="3" spans="1:18" ht="15.75" customHeight="1">
      <c r="A3" s="12" t="str">
        <f>Referencias!B88</f>
        <v>Linha Circulo Maxi Mouline</v>
      </c>
      <c r="B3" s="13">
        <v>2</v>
      </c>
      <c r="C3" s="6">
        <f>Referencias!F88</f>
        <v>0.18</v>
      </c>
      <c r="D3" s="6">
        <f t="shared" si="0"/>
        <v>0.36</v>
      </c>
      <c r="N3" s="7"/>
      <c r="O3" s="31"/>
      <c r="P3" s="31"/>
      <c r="Q3" s="47"/>
      <c r="R3" s="31"/>
    </row>
    <row r="4" spans="1:18" ht="15.75" customHeight="1">
      <c r="A4" s="12" t="str">
        <f>Referencias!B62</f>
        <v>Frete</v>
      </c>
      <c r="B4" s="12"/>
      <c r="C4" s="6">
        <f>Referencias!F62</f>
        <v>0</v>
      </c>
      <c r="D4" s="6">
        <f t="shared" si="0"/>
        <v>0</v>
      </c>
      <c r="N4" s="7"/>
      <c r="O4" s="31"/>
      <c r="P4" s="31"/>
      <c r="Q4" s="47"/>
      <c r="R4" s="31"/>
    </row>
    <row r="5" spans="1:18" ht="15.75" customHeight="1">
      <c r="A5" s="12" t="str">
        <f>Referencias!B14</f>
        <v>Desgaste Bloquinho/Outros</v>
      </c>
      <c r="B5" s="13">
        <v>1</v>
      </c>
      <c r="C5" s="6">
        <f>Referencias!F14</f>
        <v>0.5</v>
      </c>
      <c r="D5" s="6">
        <f t="shared" si="0"/>
        <v>0.5</v>
      </c>
      <c r="N5" s="7"/>
      <c r="O5" s="31"/>
      <c r="P5" s="31"/>
      <c r="Q5" s="47"/>
      <c r="R5" s="31"/>
    </row>
    <row r="6" spans="1:18" ht="15.75" customHeight="1">
      <c r="A6" s="12" t="str">
        <f>Referencias!B17</f>
        <v>Embalagem Padrão</v>
      </c>
      <c r="B6" s="13">
        <v>1</v>
      </c>
      <c r="C6" s="6">
        <f>Referencias!F17</f>
        <v>1.5</v>
      </c>
      <c r="D6" s="6">
        <f t="shared" si="0"/>
        <v>1.5</v>
      </c>
      <c r="N6" s="7"/>
      <c r="O6" s="31"/>
      <c r="P6" s="31"/>
      <c r="Q6" s="47"/>
      <c r="R6" s="31"/>
    </row>
    <row r="7" spans="1:18" ht="15.75" customHeight="1">
      <c r="A7" s="2" t="s">
        <v>312</v>
      </c>
      <c r="B7" s="12"/>
      <c r="C7" s="6"/>
      <c r="D7" s="3">
        <f>SUM(D2:D6)</f>
        <v>2.4500000000000002</v>
      </c>
      <c r="N7" s="7"/>
      <c r="O7" s="31"/>
      <c r="P7" s="31"/>
      <c r="Q7" s="47"/>
      <c r="R7" s="31"/>
    </row>
    <row r="8" spans="1:18" ht="15.75" customHeight="1">
      <c r="A8" s="2" t="s">
        <v>313</v>
      </c>
      <c r="B8" s="15">
        <v>0.55000000000000004</v>
      </c>
      <c r="C8" s="6">
        <f>D7*B8</f>
        <v>1.3475000000000001</v>
      </c>
      <c r="D8" s="3">
        <f>D7+C8</f>
        <v>3.7975000000000003</v>
      </c>
      <c r="E8" s="92"/>
      <c r="F8" s="93"/>
      <c r="G8" s="93"/>
      <c r="N8" s="7"/>
      <c r="O8" s="31"/>
      <c r="P8" s="31"/>
      <c r="Q8" s="47"/>
      <c r="R8" s="31"/>
    </row>
    <row r="9" spans="1:18" ht="15.75" customHeight="1">
      <c r="A9" s="2" t="s">
        <v>314</v>
      </c>
      <c r="B9" s="12"/>
      <c r="C9" s="10"/>
      <c r="D9" s="10"/>
      <c r="E9" s="7"/>
      <c r="F9" s="7"/>
      <c r="G9" s="7"/>
      <c r="N9" s="7"/>
      <c r="O9" s="31"/>
      <c r="P9" s="31"/>
      <c r="Q9" s="47"/>
      <c r="R9" s="31"/>
    </row>
    <row r="10" spans="1:18" ht="15.75" customHeight="1">
      <c r="A10" s="2" t="s">
        <v>315</v>
      </c>
      <c r="B10" s="12"/>
      <c r="C10" s="10"/>
      <c r="D10" s="11">
        <v>5</v>
      </c>
      <c r="E10" s="16"/>
      <c r="F10" s="16"/>
      <c r="G10" s="16"/>
      <c r="N10" s="7"/>
      <c r="O10" s="31"/>
      <c r="P10" s="31"/>
      <c r="Q10" s="47"/>
      <c r="R10" s="31"/>
    </row>
    <row r="11" spans="1:18" ht="15.75" customHeight="1">
      <c r="A11" s="25"/>
      <c r="B11" s="25"/>
      <c r="C11" s="25"/>
      <c r="D11" s="61"/>
      <c r="N11" s="7"/>
      <c r="O11" s="31"/>
      <c r="P11" s="31"/>
      <c r="Q11" s="47"/>
      <c r="R11" s="31"/>
    </row>
    <row r="12" spans="1:18" ht="15.75" customHeight="1">
      <c r="A12" s="89" t="s">
        <v>424</v>
      </c>
      <c r="B12" s="90"/>
      <c r="C12" s="91"/>
      <c r="D12" s="11">
        <v>10</v>
      </c>
      <c r="N12" s="7"/>
      <c r="O12" s="31"/>
      <c r="P12" s="31"/>
      <c r="Q12" s="47"/>
      <c r="R12" s="31"/>
    </row>
    <row r="13" spans="1:18" ht="15.75" customHeight="1">
      <c r="A13" s="12" t="str">
        <f>Referencias!B84</f>
        <v>Papel 180gr A4</v>
      </c>
      <c r="B13" s="13">
        <v>3</v>
      </c>
      <c r="C13" s="6">
        <f>Referencias!F84</f>
        <v>0.32</v>
      </c>
      <c r="D13" s="6">
        <f t="shared" ref="D13:D17" si="1">B13*C13</f>
        <v>0.96</v>
      </c>
      <c r="N13" s="31"/>
      <c r="O13" s="8"/>
      <c r="P13" s="8"/>
      <c r="Q13" s="8"/>
      <c r="R13" s="85"/>
    </row>
    <row r="14" spans="1:18" ht="15.75" customHeight="1">
      <c r="A14" s="12" t="str">
        <f>Referencias!B83</f>
        <v>Impressão A4</v>
      </c>
      <c r="B14" s="12">
        <v>3</v>
      </c>
      <c r="C14" s="6">
        <f>Referencias!F83</f>
        <v>0.5</v>
      </c>
      <c r="D14" s="6">
        <f t="shared" si="1"/>
        <v>1.5</v>
      </c>
      <c r="N14" s="31"/>
      <c r="O14" s="8"/>
      <c r="P14" s="8"/>
      <c r="Q14" s="8"/>
    </row>
    <row r="15" spans="1:18" ht="15.75" customHeight="1">
      <c r="A15" s="12" t="str">
        <f>Referencias!B62</f>
        <v>Frete</v>
      </c>
      <c r="B15" s="13">
        <v>0</v>
      </c>
      <c r="C15" s="6">
        <f>Referencias!F62</f>
        <v>0</v>
      </c>
      <c r="D15" s="6">
        <f t="shared" si="1"/>
        <v>0</v>
      </c>
      <c r="O15" s="8"/>
      <c r="P15" s="8"/>
      <c r="Q15" s="8"/>
    </row>
    <row r="16" spans="1:18" ht="15.75" customHeight="1">
      <c r="A16" s="12" t="str">
        <f>Referencias!B14</f>
        <v>Desgaste Bloquinho/Outros</v>
      </c>
      <c r="B16" s="12">
        <v>1</v>
      </c>
      <c r="C16" s="6">
        <f>Referencias!F14</f>
        <v>0.5</v>
      </c>
      <c r="D16" s="6">
        <f t="shared" si="1"/>
        <v>0.5</v>
      </c>
      <c r="O16" s="8"/>
      <c r="P16" s="8"/>
      <c r="Q16" s="8"/>
    </row>
    <row r="17" spans="1:17" ht="15.75" customHeight="1">
      <c r="A17" s="12" t="str">
        <f>Referencias!B17</f>
        <v>Embalagem Padrão</v>
      </c>
      <c r="B17" s="13">
        <v>1</v>
      </c>
      <c r="C17" s="6">
        <f>Referencias!F17</f>
        <v>1.5</v>
      </c>
      <c r="D17" s="6">
        <f t="shared" si="1"/>
        <v>1.5</v>
      </c>
      <c r="O17" s="31"/>
      <c r="P17" s="31"/>
      <c r="Q17" s="8"/>
    </row>
    <row r="18" spans="1:17" ht="15.75" customHeight="1">
      <c r="A18" s="2" t="s">
        <v>312</v>
      </c>
      <c r="B18" s="12"/>
      <c r="C18" s="6"/>
      <c r="D18" s="3">
        <f>SUM(D13:D17)</f>
        <v>4.46</v>
      </c>
    </row>
    <row r="19" spans="1:17" ht="15.75" customHeight="1">
      <c r="A19" s="2" t="s">
        <v>313</v>
      </c>
      <c r="B19" s="15">
        <v>0.55000000000000004</v>
      </c>
      <c r="C19" s="6">
        <f>D18*B19</f>
        <v>2.4530000000000003</v>
      </c>
      <c r="D19" s="3">
        <f>D18+C19</f>
        <v>6.9130000000000003</v>
      </c>
      <c r="E19" s="92"/>
      <c r="F19" s="93"/>
      <c r="G19" s="93"/>
    </row>
    <row r="20" spans="1:17" ht="15.75" customHeight="1">
      <c r="A20" s="2" t="s">
        <v>314</v>
      </c>
      <c r="B20" s="12"/>
      <c r="C20" s="10"/>
      <c r="D20" s="10"/>
      <c r="E20" s="7"/>
      <c r="F20" s="7"/>
      <c r="G20" s="7"/>
    </row>
    <row r="21" spans="1:17" ht="15.75" customHeight="1">
      <c r="A21" s="2" t="s">
        <v>315</v>
      </c>
      <c r="B21" s="12"/>
      <c r="C21" s="10"/>
      <c r="D21" s="11">
        <v>10</v>
      </c>
      <c r="E21" s="16"/>
      <c r="F21" s="16"/>
      <c r="G21" s="16"/>
    </row>
    <row r="23" spans="1:17" ht="15.75" customHeight="1">
      <c r="A23" s="89" t="s">
        <v>425</v>
      </c>
      <c r="B23" s="90"/>
      <c r="C23" s="91"/>
      <c r="D23" s="11">
        <v>5</v>
      </c>
    </row>
    <row r="24" spans="1:17" ht="15.75" customHeight="1">
      <c r="A24" s="12" t="str">
        <f>Referencias!B84</f>
        <v>Papel 180gr A4</v>
      </c>
      <c r="B24" s="13">
        <v>1</v>
      </c>
      <c r="C24" s="6">
        <f>Referencias!F84</f>
        <v>0.32</v>
      </c>
      <c r="D24" s="6">
        <f t="shared" ref="D24:D28" si="2">B24*C24</f>
        <v>0.32</v>
      </c>
    </row>
    <row r="25" spans="1:17" ht="15.75" customHeight="1">
      <c r="A25" s="12" t="str">
        <f>Referencias!B83</f>
        <v>Impressão A4</v>
      </c>
      <c r="B25" s="12">
        <v>1</v>
      </c>
      <c r="C25" s="6">
        <f>Referencias!F83</f>
        <v>0.5</v>
      </c>
      <c r="D25" s="6">
        <f t="shared" si="2"/>
        <v>0.5</v>
      </c>
    </row>
    <row r="26" spans="1:17" ht="15.75" customHeight="1">
      <c r="A26" s="12" t="str">
        <f>Referencias!B62</f>
        <v>Frete</v>
      </c>
      <c r="B26" s="13">
        <v>0</v>
      </c>
      <c r="C26" s="6">
        <f>Referencias!F62</f>
        <v>0</v>
      </c>
      <c r="D26" s="6">
        <f t="shared" si="2"/>
        <v>0</v>
      </c>
    </row>
    <row r="27" spans="1:17" ht="15.75" customHeight="1">
      <c r="A27" s="12" t="str">
        <f>Referencias!B14</f>
        <v>Desgaste Bloquinho/Outros</v>
      </c>
      <c r="B27" s="12">
        <v>1</v>
      </c>
      <c r="C27" s="6">
        <f>Referencias!F14</f>
        <v>0.5</v>
      </c>
      <c r="D27" s="6">
        <f t="shared" si="2"/>
        <v>0.5</v>
      </c>
    </row>
    <row r="28" spans="1:17" ht="15.75" customHeight="1">
      <c r="A28" s="12" t="str">
        <f>Referencias!B17</f>
        <v>Embalagem Padrão</v>
      </c>
      <c r="B28" s="13">
        <v>1</v>
      </c>
      <c r="C28" s="6">
        <f>Referencias!F17</f>
        <v>1.5</v>
      </c>
      <c r="D28" s="6">
        <f t="shared" si="2"/>
        <v>1.5</v>
      </c>
    </row>
    <row r="29" spans="1:17" ht="15.75" customHeight="1">
      <c r="A29" s="2" t="s">
        <v>312</v>
      </c>
      <c r="B29" s="12"/>
      <c r="C29" s="6"/>
      <c r="D29" s="3">
        <f>SUM(D24:D28)</f>
        <v>2.8200000000000003</v>
      </c>
    </row>
    <row r="30" spans="1:17" ht="15.75" customHeight="1">
      <c r="A30" s="2" t="s">
        <v>313</v>
      </c>
      <c r="B30" s="15">
        <v>0.55000000000000004</v>
      </c>
      <c r="C30" s="6">
        <f>D29*B30</f>
        <v>1.5510000000000004</v>
      </c>
      <c r="D30" s="3">
        <f>D29+C30</f>
        <v>4.3710000000000004</v>
      </c>
      <c r="E30" s="92"/>
      <c r="F30" s="93"/>
      <c r="G30" s="93"/>
    </row>
    <row r="31" spans="1:17" ht="15.75" customHeight="1">
      <c r="A31" s="2" t="s">
        <v>314</v>
      </c>
      <c r="B31" s="12"/>
      <c r="C31" s="10"/>
      <c r="D31" s="10"/>
      <c r="E31" s="7"/>
      <c r="F31" s="7"/>
      <c r="G31" s="7"/>
    </row>
    <row r="32" spans="1:17" ht="15.75" customHeight="1">
      <c r="A32" s="2" t="s">
        <v>315</v>
      </c>
      <c r="B32" s="12"/>
      <c r="C32" s="10"/>
      <c r="D32" s="11">
        <v>5</v>
      </c>
      <c r="E32" s="16"/>
      <c r="F32" s="16"/>
      <c r="G32" s="16"/>
    </row>
    <row r="34" spans="1:7" ht="15.75" customHeight="1">
      <c r="A34" s="89" t="s">
        <v>426</v>
      </c>
      <c r="B34" s="90"/>
      <c r="C34" s="91"/>
      <c r="D34" s="11">
        <v>40</v>
      </c>
    </row>
    <row r="35" spans="1:7" ht="15.75" customHeight="1">
      <c r="A35" s="12" t="e">
        <f>#REF!</f>
        <v>#REF!</v>
      </c>
      <c r="B35" s="12">
        <v>1</v>
      </c>
      <c r="C35" s="6" t="e">
        <f>#REF!</f>
        <v>#REF!</v>
      </c>
      <c r="D35" s="6" t="e">
        <f t="shared" ref="D35:D45" si="3">B35*C35</f>
        <v>#REF!</v>
      </c>
    </row>
    <row r="36" spans="1:7" ht="15.75" customHeight="1">
      <c r="A36" s="12" t="str">
        <f>A12</f>
        <v>Caixa Dia dos Pais</v>
      </c>
      <c r="B36" s="13">
        <v>1</v>
      </c>
      <c r="C36" s="6">
        <f>D18</f>
        <v>4.46</v>
      </c>
      <c r="D36" s="6">
        <f t="shared" si="3"/>
        <v>4.46</v>
      </c>
    </row>
    <row r="37" spans="1:7" ht="15">
      <c r="A37" s="12" t="str">
        <f>Referencias!B133</f>
        <v>Kit Bolachas (1 Torrada, 1 Maisena, 1 Creem Cracker, 1 Chocolate, 1 Leite, 1 Gotas, 1 Banana com Canela)</v>
      </c>
      <c r="B37" s="13">
        <v>1</v>
      </c>
      <c r="C37" s="6">
        <f>Referencias!F133</f>
        <v>4.41</v>
      </c>
      <c r="D37" s="6">
        <f t="shared" si="3"/>
        <v>4.41</v>
      </c>
    </row>
    <row r="38" spans="1:7" ht="15">
      <c r="A38" s="12" t="str">
        <f>Referencias!B134</f>
        <v>Suco Caixinha Chefa 200ml</v>
      </c>
      <c r="B38" s="13">
        <v>1</v>
      </c>
      <c r="C38" s="6">
        <f>Referencias!F134</f>
        <v>1.19</v>
      </c>
      <c r="D38" s="6">
        <f t="shared" si="3"/>
        <v>1.19</v>
      </c>
    </row>
    <row r="39" spans="1:7" ht="15">
      <c r="A39" s="12" t="str">
        <f>Referencias!B135</f>
        <v>Açucar União Sache 5g</v>
      </c>
      <c r="B39" s="13">
        <v>2</v>
      </c>
      <c r="C39" s="6">
        <f>Referencias!F135</f>
        <v>0.32</v>
      </c>
      <c r="D39" s="6">
        <f t="shared" si="3"/>
        <v>0.64</v>
      </c>
    </row>
    <row r="40" spans="1:7" ht="15">
      <c r="A40" s="12" t="str">
        <f>Referencias!B136</f>
        <v>Café Pelé Sache</v>
      </c>
      <c r="B40" s="13">
        <v>1</v>
      </c>
      <c r="C40" s="6">
        <f>Referencias!F136</f>
        <v>0.43</v>
      </c>
      <c r="D40" s="6">
        <f t="shared" si="3"/>
        <v>0.43</v>
      </c>
    </row>
    <row r="41" spans="1:7" ht="15">
      <c r="A41" s="12" t="str">
        <f>Referencias!B137</f>
        <v>Capuccino 3 Corações Sache</v>
      </c>
      <c r="B41" s="12">
        <v>1</v>
      </c>
      <c r="C41" s="6">
        <f>Referencias!F137</f>
        <v>1.99</v>
      </c>
      <c r="D41" s="6">
        <f t="shared" si="3"/>
        <v>1.99</v>
      </c>
    </row>
    <row r="42" spans="1:7" ht="15">
      <c r="A42" s="12" t="str">
        <f>Referencias!B138</f>
        <v>Geleia Blister 15g</v>
      </c>
      <c r="B42" s="13">
        <v>2</v>
      </c>
      <c r="C42" s="6">
        <f>Referencias!F138</f>
        <v>0.66</v>
      </c>
      <c r="D42" s="6">
        <f t="shared" si="3"/>
        <v>1.32</v>
      </c>
    </row>
    <row r="43" spans="1:7" ht="15">
      <c r="A43" s="12" t="str">
        <f>Referencias!B62</f>
        <v>Frete</v>
      </c>
      <c r="B43" s="12">
        <v>0</v>
      </c>
      <c r="C43" s="6">
        <f>Referencias!F62</f>
        <v>0</v>
      </c>
      <c r="D43" s="6">
        <f t="shared" si="3"/>
        <v>0</v>
      </c>
    </row>
    <row r="44" spans="1:7" ht="15">
      <c r="A44" s="12" t="str">
        <f>Referencias!B14</f>
        <v>Desgaste Bloquinho/Outros</v>
      </c>
      <c r="B44" s="12">
        <v>1</v>
      </c>
      <c r="C44" s="6">
        <f>Referencias!F14</f>
        <v>0.5</v>
      </c>
      <c r="D44" s="6">
        <f t="shared" si="3"/>
        <v>0.5</v>
      </c>
    </row>
    <row r="45" spans="1:7" ht="15">
      <c r="A45" s="12" t="str">
        <f>Referencias!B17</f>
        <v>Embalagem Padrão</v>
      </c>
      <c r="B45" s="13">
        <v>1</v>
      </c>
      <c r="C45" s="6">
        <f>Referencias!F17</f>
        <v>1.5</v>
      </c>
      <c r="D45" s="6">
        <f t="shared" si="3"/>
        <v>1.5</v>
      </c>
    </row>
    <row r="46" spans="1:7" ht="15">
      <c r="A46" s="2" t="s">
        <v>312</v>
      </c>
      <c r="B46" s="12"/>
      <c r="C46" s="6"/>
      <c r="D46" s="3" t="e">
        <f>SUM(D35:D45)</f>
        <v>#REF!</v>
      </c>
    </row>
    <row r="47" spans="1:7" ht="15">
      <c r="A47" s="2" t="s">
        <v>313</v>
      </c>
      <c r="B47" s="15">
        <v>0.55000000000000004</v>
      </c>
      <c r="C47" s="10" t="e">
        <f>D46*B47</f>
        <v>#REF!</v>
      </c>
      <c r="D47" s="3" t="e">
        <f>D46+C47</f>
        <v>#REF!</v>
      </c>
      <c r="E47" s="92"/>
      <c r="F47" s="93"/>
      <c r="G47" s="93"/>
    </row>
    <row r="48" spans="1:7" ht="15">
      <c r="A48" s="2" t="s">
        <v>314</v>
      </c>
      <c r="B48" s="12"/>
      <c r="C48" s="10"/>
      <c r="D48" s="10"/>
      <c r="E48" s="7"/>
      <c r="F48" s="7"/>
      <c r="G48" s="7"/>
    </row>
    <row r="49" spans="1:7" ht="15">
      <c r="A49" s="2" t="s">
        <v>315</v>
      </c>
      <c r="B49" s="12"/>
      <c r="C49" s="10"/>
      <c r="D49" s="11">
        <v>40</v>
      </c>
      <c r="E49" s="7"/>
      <c r="F49" s="7"/>
      <c r="G49" s="7"/>
    </row>
    <row r="51" spans="1:7" ht="15">
      <c r="A51" s="89" t="s">
        <v>427</v>
      </c>
      <c r="B51" s="90"/>
      <c r="C51" s="91"/>
      <c r="D51" s="11">
        <v>40</v>
      </c>
      <c r="G51" s="14"/>
    </row>
    <row r="52" spans="1:7" ht="15">
      <c r="A52" s="12" t="str">
        <f>A23</f>
        <v>Caixa Ferramentas</v>
      </c>
      <c r="B52" s="13">
        <v>1</v>
      </c>
      <c r="C52" s="6">
        <f>D29</f>
        <v>2.8200000000000003</v>
      </c>
      <c r="D52" s="6">
        <f t="shared" ref="D52:D56" si="4">B52*C52</f>
        <v>2.8200000000000003</v>
      </c>
    </row>
    <row r="53" spans="1:7" ht="15">
      <c r="A53" s="12" t="s">
        <v>428</v>
      </c>
      <c r="B53" s="13">
        <v>1</v>
      </c>
      <c r="C53" s="6">
        <v>11</v>
      </c>
      <c r="D53" s="6">
        <f t="shared" si="4"/>
        <v>11</v>
      </c>
    </row>
    <row r="54" spans="1:7" ht="15">
      <c r="A54" s="12" t="str">
        <f>Referencias!B62</f>
        <v>Frete</v>
      </c>
      <c r="B54" s="12">
        <v>0</v>
      </c>
      <c r="C54" s="6">
        <f>Referencias!F62</f>
        <v>0</v>
      </c>
      <c r="D54" s="6">
        <f t="shared" si="4"/>
        <v>0</v>
      </c>
    </row>
    <row r="55" spans="1:7" ht="15">
      <c r="A55" s="12" t="str">
        <f>Referencias!B14</f>
        <v>Desgaste Bloquinho/Outros</v>
      </c>
      <c r="B55" s="12">
        <v>1</v>
      </c>
      <c r="C55" s="6">
        <f>Referencias!F14</f>
        <v>0.5</v>
      </c>
      <c r="D55" s="6">
        <f t="shared" si="4"/>
        <v>0.5</v>
      </c>
    </row>
    <row r="56" spans="1:7" ht="15">
      <c r="A56" s="12" t="str">
        <f>Referencias!B17</f>
        <v>Embalagem Padrão</v>
      </c>
      <c r="B56" s="13">
        <v>1</v>
      </c>
      <c r="C56" s="6">
        <f>Referencias!F17</f>
        <v>1.5</v>
      </c>
      <c r="D56" s="6">
        <f t="shared" si="4"/>
        <v>1.5</v>
      </c>
    </row>
    <row r="57" spans="1:7" ht="15">
      <c r="A57" s="2" t="s">
        <v>312</v>
      </c>
      <c r="B57" s="12"/>
      <c r="C57" s="6"/>
      <c r="D57" s="3">
        <f>SUM(D52:D56)</f>
        <v>15.82</v>
      </c>
    </row>
    <row r="58" spans="1:7" ht="15">
      <c r="A58" s="2" t="s">
        <v>313</v>
      </c>
      <c r="B58" s="15">
        <v>0.55000000000000004</v>
      </c>
      <c r="C58" s="6">
        <f>D57*B58</f>
        <v>8.7010000000000005</v>
      </c>
      <c r="D58" s="3">
        <f>D57+C58</f>
        <v>24.521000000000001</v>
      </c>
      <c r="E58" s="92"/>
      <c r="F58" s="93"/>
      <c r="G58" s="93"/>
    </row>
    <row r="59" spans="1:7" ht="15">
      <c r="A59" s="2" t="s">
        <v>314</v>
      </c>
      <c r="B59" s="12"/>
      <c r="C59" s="10"/>
      <c r="D59" s="10"/>
      <c r="E59" s="7"/>
      <c r="F59" s="7"/>
      <c r="G59" s="7"/>
    </row>
    <row r="60" spans="1:7" ht="15">
      <c r="A60" s="2" t="s">
        <v>315</v>
      </c>
      <c r="B60" s="12"/>
      <c r="C60" s="10"/>
      <c r="D60" s="11">
        <v>40</v>
      </c>
      <c r="E60" s="16"/>
      <c r="F60" s="16"/>
      <c r="G60" s="16"/>
    </row>
  </sheetData>
  <mergeCells count="10">
    <mergeCell ref="E47:G47"/>
    <mergeCell ref="A51:C51"/>
    <mergeCell ref="E58:G58"/>
    <mergeCell ref="A1:C1"/>
    <mergeCell ref="E8:G8"/>
    <mergeCell ref="A12:C12"/>
    <mergeCell ref="E19:G19"/>
    <mergeCell ref="A23:C23"/>
    <mergeCell ref="E30:G30"/>
    <mergeCell ref="A34:C34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29"/>
  <sheetViews>
    <sheetView workbookViewId="0">
      <selection sqref="A1:C1"/>
    </sheetView>
  </sheetViews>
  <sheetFormatPr defaultColWidth="12.5703125" defaultRowHeight="15.75" customHeight="1"/>
  <cols>
    <col min="1" max="1" width="41.42578125" customWidth="1"/>
    <col min="2" max="2" width="6" customWidth="1"/>
    <col min="3" max="4" width="7.7109375" customWidth="1"/>
    <col min="5" max="7" width="7.42578125" customWidth="1"/>
  </cols>
  <sheetData>
    <row r="1" spans="1:7" ht="15.75" customHeight="1">
      <c r="A1" s="89" t="s">
        <v>349</v>
      </c>
      <c r="B1" s="90"/>
      <c r="C1" s="91"/>
      <c r="D1" s="11">
        <v>5</v>
      </c>
    </row>
    <row r="2" spans="1:7" ht="15.75" customHeight="1">
      <c r="A2" s="12" t="str">
        <f>Referencias!B55</f>
        <v>Papel Kraft A5</v>
      </c>
      <c r="B2" s="13">
        <v>1</v>
      </c>
      <c r="C2" s="6">
        <f>Referencias!F55</f>
        <v>0.27</v>
      </c>
      <c r="D2" s="6">
        <f t="shared" ref="D2:D8" si="0">B2*C2</f>
        <v>0.27</v>
      </c>
    </row>
    <row r="3" spans="1:7" ht="15.75" customHeight="1">
      <c r="A3" s="12" t="str">
        <f>Referencias!B142</f>
        <v>Papel Offset Sulfite 120g A6</v>
      </c>
      <c r="B3" s="13">
        <v>1</v>
      </c>
      <c r="C3" s="6">
        <f>Referencias!F142</f>
        <v>0.03</v>
      </c>
      <c r="D3" s="6">
        <f t="shared" si="0"/>
        <v>0.03</v>
      </c>
    </row>
    <row r="4" spans="1:7" ht="15.75" customHeight="1">
      <c r="A4" s="12" t="str">
        <f>Referencias!B139</f>
        <v>Envelope 80g visita 115x80 linho branco 5452 Romitec</v>
      </c>
      <c r="B4" s="13">
        <v>1</v>
      </c>
      <c r="C4" s="6">
        <f>Referencias!F139</f>
        <v>0.27</v>
      </c>
      <c r="D4" s="6">
        <f t="shared" si="0"/>
        <v>0.27</v>
      </c>
    </row>
    <row r="5" spans="1:7" ht="15.75" customHeight="1">
      <c r="A5" s="12" t="str">
        <f>Referencias!B88</f>
        <v>Linha Circulo Maxi Mouline</v>
      </c>
      <c r="B5" s="13">
        <v>2</v>
      </c>
      <c r="C5" s="6">
        <f>Referencias!F88</f>
        <v>0.18</v>
      </c>
      <c r="D5" s="6">
        <f t="shared" si="0"/>
        <v>0.36</v>
      </c>
    </row>
    <row r="6" spans="1:7" ht="15.75" customHeight="1">
      <c r="A6" s="12" t="str">
        <f>Referencias!B62</f>
        <v>Frete</v>
      </c>
      <c r="B6" s="12"/>
      <c r="C6" s="6">
        <f>Referencias!F62</f>
        <v>0</v>
      </c>
      <c r="D6" s="6">
        <f t="shared" si="0"/>
        <v>0</v>
      </c>
    </row>
    <row r="7" spans="1:7" ht="15.75" customHeight="1">
      <c r="A7" s="12" t="str">
        <f>Referencias!B14</f>
        <v>Desgaste Bloquinho/Outros</v>
      </c>
      <c r="B7" s="13">
        <v>1</v>
      </c>
      <c r="C7" s="6">
        <f>Referencias!F14</f>
        <v>0.5</v>
      </c>
      <c r="D7" s="6">
        <f t="shared" si="0"/>
        <v>0.5</v>
      </c>
    </row>
    <row r="8" spans="1:7" ht="15.75" customHeight="1">
      <c r="A8" s="12" t="str">
        <f>Referencias!B17</f>
        <v>Embalagem Padrão</v>
      </c>
      <c r="B8" s="13">
        <v>1</v>
      </c>
      <c r="C8" s="6">
        <f>Referencias!F17</f>
        <v>1.5</v>
      </c>
      <c r="D8" s="6">
        <f t="shared" si="0"/>
        <v>1.5</v>
      </c>
    </row>
    <row r="9" spans="1:7" ht="15.75" customHeight="1">
      <c r="A9" s="2" t="s">
        <v>312</v>
      </c>
      <c r="B9" s="12"/>
      <c r="C9" s="6"/>
      <c r="D9" s="3">
        <f>SUM(D2:D8)</f>
        <v>2.93</v>
      </c>
    </row>
    <row r="10" spans="1:7" ht="15.75" customHeight="1">
      <c r="A10" s="2" t="s">
        <v>313</v>
      </c>
      <c r="B10" s="15">
        <v>0.55000000000000004</v>
      </c>
      <c r="C10" s="6">
        <f>D9*B10</f>
        <v>1.6115000000000002</v>
      </c>
      <c r="D10" s="3">
        <f>D9+C10</f>
        <v>4.5415000000000001</v>
      </c>
      <c r="E10" s="92"/>
      <c r="F10" s="93"/>
      <c r="G10" s="93"/>
    </row>
    <row r="11" spans="1:7" ht="15.75" customHeight="1">
      <c r="A11" s="2" t="s">
        <v>314</v>
      </c>
      <c r="B11" s="12"/>
      <c r="C11" s="10"/>
      <c r="D11" s="10"/>
      <c r="E11" s="7"/>
      <c r="F11" s="7"/>
      <c r="G11" s="7"/>
    </row>
    <row r="12" spans="1:7" ht="15.75" customHeight="1">
      <c r="A12" s="2" t="s">
        <v>315</v>
      </c>
      <c r="B12" s="12"/>
      <c r="C12" s="10"/>
      <c r="D12" s="11">
        <v>5</v>
      </c>
      <c r="E12" s="16"/>
      <c r="F12" s="16"/>
      <c r="G12" s="16"/>
    </row>
    <row r="14" spans="1:7" ht="15.75" customHeight="1">
      <c r="A14" s="89" t="s">
        <v>429</v>
      </c>
      <c r="B14" s="90"/>
      <c r="C14" s="91"/>
      <c r="D14" s="3">
        <v>30</v>
      </c>
    </row>
    <row r="15" spans="1:7" ht="15.75" customHeight="1">
      <c r="A15" s="12" t="str">
        <f>Referencias!B58</f>
        <v>Papelão 16x22</v>
      </c>
      <c r="B15" s="13">
        <v>2</v>
      </c>
      <c r="C15" s="6">
        <f>Referencias!F58</f>
        <v>1.5</v>
      </c>
      <c r="D15" s="6">
        <f t="shared" ref="D15:D25" si="1">B15*C15</f>
        <v>3</v>
      </c>
    </row>
    <row r="16" spans="1:7" ht="15.75" customHeight="1">
      <c r="A16" s="12" t="str">
        <f>Referencias!B53</f>
        <v>Papel fotografico A4</v>
      </c>
      <c r="B16" s="13">
        <v>2</v>
      </c>
      <c r="C16" s="6">
        <f>Referencias!F53</f>
        <v>0.8</v>
      </c>
      <c r="D16" s="6">
        <f t="shared" si="1"/>
        <v>1.6</v>
      </c>
    </row>
    <row r="17" spans="1:7" ht="15.75" customHeight="1">
      <c r="A17" s="12" t="str">
        <f>Referencias!B31</f>
        <v>bopp</v>
      </c>
      <c r="B17" s="13">
        <f>2*0.3</f>
        <v>0.6</v>
      </c>
      <c r="C17" s="6">
        <f>Referencias!F31</f>
        <v>0.45</v>
      </c>
      <c r="D17" s="6">
        <f t="shared" si="1"/>
        <v>0.27</v>
      </c>
    </row>
    <row r="18" spans="1:7" ht="15.75" customHeight="1">
      <c r="A18" s="12" t="str">
        <f>Referencias!B48</f>
        <v>Papel guarda 15,5x21,5 offset adesivo</v>
      </c>
      <c r="B18" s="13">
        <v>2</v>
      </c>
      <c r="C18" s="6">
        <f>Referencias!F48</f>
        <v>0.75</v>
      </c>
      <c r="D18" s="6">
        <f t="shared" si="1"/>
        <v>1.5</v>
      </c>
    </row>
    <row r="19" spans="1:7" ht="15.75" customHeight="1">
      <c r="A19" s="12" t="str">
        <f>Referencias!B36</f>
        <v>miolo 180g A5</v>
      </c>
      <c r="B19" s="13">
        <v>13</v>
      </c>
      <c r="C19" s="6">
        <f>Referencias!F36</f>
        <v>0.16</v>
      </c>
      <c r="D19" s="6">
        <f t="shared" si="1"/>
        <v>2.08</v>
      </c>
    </row>
    <row r="20" spans="1:7" ht="15.75" customHeight="1">
      <c r="A20" s="12" t="str">
        <f>Referencias!B18</f>
        <v>Espiral 17mm</v>
      </c>
      <c r="B20" s="13">
        <v>1</v>
      </c>
      <c r="C20" s="6">
        <f>Referencias!F18</f>
        <v>0.52</v>
      </c>
      <c r="D20" s="6">
        <f t="shared" si="1"/>
        <v>0.52</v>
      </c>
    </row>
    <row r="21" spans="1:7" ht="15.75" customHeight="1">
      <c r="A21" s="12" t="str">
        <f>Referencias!B22</f>
        <v>Impressao Capa A4</v>
      </c>
      <c r="B21" s="13">
        <v>2</v>
      </c>
      <c r="C21" s="6">
        <f>Referencias!F22</f>
        <v>0.5</v>
      </c>
      <c r="D21" s="6">
        <f t="shared" si="1"/>
        <v>1</v>
      </c>
    </row>
    <row r="22" spans="1:7" ht="15.75" customHeight="1">
      <c r="A22" s="12" t="str">
        <f>Referencias!B29</f>
        <v>Impressao Miolo Frente Verso A5</v>
      </c>
      <c r="B22" s="13">
        <v>13</v>
      </c>
      <c r="C22" s="6">
        <f>Referencias!F29</f>
        <v>0.06</v>
      </c>
      <c r="D22" s="6">
        <f t="shared" si="1"/>
        <v>0.78</v>
      </c>
    </row>
    <row r="23" spans="1:7" ht="15.75" customHeight="1">
      <c r="A23" s="12" t="str">
        <f>Referencias!B62</f>
        <v>Frete</v>
      </c>
      <c r="B23" s="12"/>
      <c r="C23" s="6">
        <f>Referencias!F62</f>
        <v>0</v>
      </c>
      <c r="D23" s="6">
        <f t="shared" si="1"/>
        <v>0</v>
      </c>
    </row>
    <row r="24" spans="1:7" ht="15.75" customHeight="1">
      <c r="A24" s="12" t="str">
        <f>Referencias!B15</f>
        <v>Desgaste Caderno A5</v>
      </c>
      <c r="B24" s="13">
        <v>1</v>
      </c>
      <c r="C24" s="6">
        <f>Referencias!F15</f>
        <v>2</v>
      </c>
      <c r="D24" s="6">
        <f t="shared" si="1"/>
        <v>2</v>
      </c>
    </row>
    <row r="25" spans="1:7" ht="15.75" customHeight="1">
      <c r="A25" s="12" t="str">
        <f>Referencias!B17</f>
        <v>Embalagem Padrão</v>
      </c>
      <c r="B25" s="13">
        <v>1</v>
      </c>
      <c r="C25" s="6">
        <f>Referencias!F17</f>
        <v>1.5</v>
      </c>
      <c r="D25" s="6">
        <f t="shared" si="1"/>
        <v>1.5</v>
      </c>
    </row>
    <row r="26" spans="1:7" ht="15.75" customHeight="1">
      <c r="A26" s="2" t="s">
        <v>312</v>
      </c>
      <c r="B26" s="12"/>
      <c r="C26" s="10"/>
      <c r="D26" s="3">
        <f>SUM(D15:D25)</f>
        <v>14.249999999999998</v>
      </c>
    </row>
    <row r="27" spans="1:7" ht="15.75" customHeight="1">
      <c r="A27" s="2" t="s">
        <v>313</v>
      </c>
      <c r="B27" s="15">
        <v>0.55000000000000004</v>
      </c>
      <c r="C27" s="6">
        <f>D26*B27</f>
        <v>7.8374999999999995</v>
      </c>
      <c r="D27" s="3">
        <f>D26+C27</f>
        <v>22.087499999999999</v>
      </c>
      <c r="E27" s="92"/>
      <c r="F27" s="93"/>
      <c r="G27" s="93"/>
    </row>
    <row r="28" spans="1:7" ht="15.75" customHeight="1">
      <c r="A28" s="2" t="s">
        <v>314</v>
      </c>
      <c r="B28" s="40" t="s">
        <v>330</v>
      </c>
      <c r="C28" s="36" t="s">
        <v>331</v>
      </c>
      <c r="D28" s="10"/>
      <c r="E28" s="7"/>
      <c r="F28" s="7"/>
      <c r="G28" s="7"/>
    </row>
    <row r="29" spans="1:7" ht="15.75" customHeight="1">
      <c r="A29" s="2" t="s">
        <v>315</v>
      </c>
      <c r="B29" s="37"/>
      <c r="C29" s="41"/>
      <c r="D29" s="3">
        <v>30</v>
      </c>
      <c r="E29" s="16"/>
      <c r="F29" s="16"/>
      <c r="G29" s="16"/>
    </row>
  </sheetData>
  <mergeCells count="4">
    <mergeCell ref="A1:C1"/>
    <mergeCell ref="E10:G10"/>
    <mergeCell ref="A14:C14"/>
    <mergeCell ref="E27:G27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9900"/>
    <outlinePr summaryBelow="0" summaryRight="0"/>
  </sheetPr>
  <dimension ref="A1:R181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  <col min="14" max="14" width="7.28515625" customWidth="1"/>
    <col min="15" max="16" width="2.85546875" customWidth="1"/>
    <col min="17" max="17" width="4.7109375" customWidth="1"/>
    <col min="18" max="18" width="4.28515625" customWidth="1"/>
  </cols>
  <sheetData>
    <row r="1" spans="1:11" ht="15">
      <c r="A1" s="89" t="s">
        <v>430</v>
      </c>
      <c r="B1" s="90"/>
      <c r="C1" s="91"/>
      <c r="D1" s="3">
        <v>20</v>
      </c>
    </row>
    <row r="2" spans="1:11" ht="15">
      <c r="A2" s="12" t="str">
        <f>Referencias!B123</f>
        <v>Papelão 15,5x11,5</v>
      </c>
      <c r="B2" s="13">
        <v>2</v>
      </c>
      <c r="C2" s="6">
        <f>Referencias!F123</f>
        <v>0.75</v>
      </c>
      <c r="D2" s="6">
        <f t="shared" ref="D2:D12" si="0">B2*C2</f>
        <v>1.5</v>
      </c>
    </row>
    <row r="3" spans="1:11" ht="15">
      <c r="A3" s="12" t="str">
        <f>Referencias!B53</f>
        <v>Papel fotografico A4</v>
      </c>
      <c r="B3" s="13">
        <v>1</v>
      </c>
      <c r="C3" s="6">
        <f>Referencias!F53</f>
        <v>0.8</v>
      </c>
      <c r="D3" s="6">
        <f t="shared" si="0"/>
        <v>0.8</v>
      </c>
    </row>
    <row r="4" spans="1:11" ht="15">
      <c r="A4" s="12" t="str">
        <f>Referencias!B31</f>
        <v>bopp</v>
      </c>
      <c r="B4" s="13">
        <f>0.3*2</f>
        <v>0.6</v>
      </c>
      <c r="C4" s="6">
        <f>Referencias!F31</f>
        <v>0.45</v>
      </c>
      <c r="D4" s="6">
        <f t="shared" si="0"/>
        <v>0.27</v>
      </c>
    </row>
    <row r="5" spans="1:11" ht="15">
      <c r="A5" s="12" t="str">
        <f>Referencias!B124</f>
        <v>Papel guarda 11x15 offset adesivo</v>
      </c>
      <c r="B5" s="13">
        <v>2</v>
      </c>
      <c r="C5" s="6">
        <f>Referencias!F124</f>
        <v>0.35</v>
      </c>
      <c r="D5" s="6">
        <f t="shared" si="0"/>
        <v>0.7</v>
      </c>
    </row>
    <row r="6" spans="1:11" ht="15">
      <c r="A6" s="12" t="str">
        <f>Referencias!B122</f>
        <v>miolo 75gr A6</v>
      </c>
      <c r="B6" s="13">
        <v>81</v>
      </c>
      <c r="C6" s="6">
        <f>Referencias!F122</f>
        <v>1.6E-2</v>
      </c>
      <c r="D6" s="6">
        <f t="shared" si="0"/>
        <v>1.296</v>
      </c>
    </row>
    <row r="7" spans="1:11" ht="15">
      <c r="A7" s="12" t="str">
        <f>Referencias!B69</f>
        <v>Espiral 20mm</v>
      </c>
      <c r="B7" s="13">
        <v>0.5</v>
      </c>
      <c r="C7" s="6">
        <f>Referencias!F69</f>
        <v>0.64</v>
      </c>
      <c r="D7" s="6">
        <f t="shared" si="0"/>
        <v>0.32</v>
      </c>
    </row>
    <row r="8" spans="1:11" ht="15">
      <c r="A8" s="12" t="str">
        <f>Referencias!B24</f>
        <v>Impressao Capa A6</v>
      </c>
      <c r="B8" s="13">
        <v>2</v>
      </c>
      <c r="C8" s="6">
        <f>Referencias!F24</f>
        <v>0.13</v>
      </c>
      <c r="D8" s="6">
        <f t="shared" si="0"/>
        <v>0.26</v>
      </c>
    </row>
    <row r="9" spans="1:11" ht="15">
      <c r="A9" s="12" t="str">
        <f>Referencias!B27</f>
        <v>Impressao Miolo Frente A6</v>
      </c>
      <c r="B9" s="13">
        <v>81</v>
      </c>
      <c r="C9" s="6">
        <f>Referencias!F27</f>
        <v>0.02</v>
      </c>
      <c r="D9" s="6">
        <f t="shared" si="0"/>
        <v>1.62</v>
      </c>
    </row>
    <row r="10" spans="1:11" ht="15">
      <c r="A10" s="12" t="str">
        <f>Referencias!B62</f>
        <v>Frete</v>
      </c>
      <c r="B10" s="12"/>
      <c r="C10" s="6">
        <f>Referencias!F62</f>
        <v>0</v>
      </c>
      <c r="D10" s="6">
        <f t="shared" si="0"/>
        <v>0</v>
      </c>
    </row>
    <row r="11" spans="1:11" ht="15">
      <c r="A11" s="12" t="str">
        <f>Referencias!B15</f>
        <v>Desgaste Caderno A5</v>
      </c>
      <c r="B11" s="13">
        <v>1</v>
      </c>
      <c r="C11" s="6">
        <f>Referencias!F15</f>
        <v>2</v>
      </c>
      <c r="D11" s="6">
        <f t="shared" si="0"/>
        <v>2</v>
      </c>
    </row>
    <row r="12" spans="1:11" ht="15">
      <c r="A12" s="12" t="str">
        <f>Referencias!B17</f>
        <v>Embalagem Padrão</v>
      </c>
      <c r="B12" s="13">
        <v>1</v>
      </c>
      <c r="C12" s="6">
        <f>Referencias!F17</f>
        <v>1.5</v>
      </c>
      <c r="D12" s="6">
        <f t="shared" si="0"/>
        <v>1.5</v>
      </c>
    </row>
    <row r="13" spans="1:11" ht="15">
      <c r="A13" s="2" t="s">
        <v>312</v>
      </c>
      <c r="B13" s="12"/>
      <c r="C13" s="10"/>
      <c r="D13" s="3">
        <f>SUM(D2:D12)</f>
        <v>10.266</v>
      </c>
    </row>
    <row r="14" spans="1:11" ht="15">
      <c r="A14" s="2" t="s">
        <v>313</v>
      </c>
      <c r="B14" s="15">
        <v>0.55000000000000004</v>
      </c>
      <c r="C14" s="6">
        <f>D13*B14</f>
        <v>5.6463000000000001</v>
      </c>
      <c r="D14" s="3">
        <f>D13+C14</f>
        <v>15.9123</v>
      </c>
      <c r="E14" s="92"/>
      <c r="F14" s="93"/>
      <c r="G14" s="93"/>
    </row>
    <row r="15" spans="1:11" ht="15">
      <c r="A15" s="2" t="s">
        <v>314</v>
      </c>
      <c r="B15" s="40" t="s">
        <v>330</v>
      </c>
      <c r="C15" s="36" t="s">
        <v>331</v>
      </c>
      <c r="D15" s="10"/>
      <c r="E15" s="7"/>
      <c r="F15" s="7"/>
      <c r="G15" s="7"/>
    </row>
    <row r="16" spans="1:11">
      <c r="A16" s="2" t="s">
        <v>315</v>
      </c>
      <c r="B16" s="37"/>
      <c r="C16" s="41"/>
      <c r="D16" s="3">
        <v>20</v>
      </c>
      <c r="E16" s="16"/>
      <c r="F16" s="16"/>
      <c r="G16" s="16"/>
      <c r="K16" s="84"/>
    </row>
    <row r="17" spans="1:11">
      <c r="K17" s="84"/>
    </row>
    <row r="18" spans="1:11">
      <c r="A18" s="89" t="s">
        <v>431</v>
      </c>
      <c r="B18" s="90"/>
      <c r="C18" s="91"/>
      <c r="D18" s="3">
        <v>35</v>
      </c>
      <c r="K18" s="84"/>
    </row>
    <row r="19" spans="1:11">
      <c r="A19" s="12" t="str">
        <f>Referencias!B58</f>
        <v>Papelão 16x22</v>
      </c>
      <c r="B19" s="13">
        <v>2</v>
      </c>
      <c r="C19" s="6">
        <f>Referencias!F58</f>
        <v>1.5</v>
      </c>
      <c r="D19" s="6">
        <f t="shared" ref="D19:D29" si="1">B19*C19</f>
        <v>3</v>
      </c>
      <c r="K19" s="84"/>
    </row>
    <row r="20" spans="1:11">
      <c r="A20" s="12" t="str">
        <f>Referencias!B53</f>
        <v>Papel fotografico A4</v>
      </c>
      <c r="B20" s="13">
        <v>2</v>
      </c>
      <c r="C20" s="6">
        <f>Referencias!F53</f>
        <v>0.8</v>
      </c>
      <c r="D20" s="6">
        <f t="shared" si="1"/>
        <v>1.6</v>
      </c>
      <c r="K20" s="84"/>
    </row>
    <row r="21" spans="1:11">
      <c r="A21" s="12" t="str">
        <f>Referencias!B31</f>
        <v>bopp</v>
      </c>
      <c r="B21" s="13">
        <f>2*0.3</f>
        <v>0.6</v>
      </c>
      <c r="C21" s="6">
        <f>Referencias!F31</f>
        <v>0.45</v>
      </c>
      <c r="D21" s="6">
        <f t="shared" si="1"/>
        <v>0.27</v>
      </c>
      <c r="K21" s="84"/>
    </row>
    <row r="22" spans="1:11">
      <c r="A22" s="12" t="str">
        <f>Referencias!B48</f>
        <v>Papel guarda 15,5x21,5 offset adesivo</v>
      </c>
      <c r="B22" s="13">
        <v>2</v>
      </c>
      <c r="C22" s="6">
        <f>Referencias!F48</f>
        <v>0.75</v>
      </c>
      <c r="D22" s="6">
        <f t="shared" si="1"/>
        <v>1.5</v>
      </c>
      <c r="K22" s="84"/>
    </row>
    <row r="23" spans="1:11">
      <c r="A23" s="12" t="str">
        <f>Referencias!B45</f>
        <v>miolo 90gr A5</v>
      </c>
      <c r="B23" s="13">
        <v>80</v>
      </c>
      <c r="C23" s="6">
        <f>Referencias!F45</f>
        <v>0.05</v>
      </c>
      <c r="D23" s="6">
        <f t="shared" si="1"/>
        <v>4</v>
      </c>
      <c r="K23" s="84"/>
    </row>
    <row r="24" spans="1:11">
      <c r="A24" s="12" t="str">
        <f>Referencias!B69</f>
        <v>Espiral 20mm</v>
      </c>
      <c r="B24" s="13">
        <v>1</v>
      </c>
      <c r="C24" s="6">
        <f>Referencias!F69</f>
        <v>0.64</v>
      </c>
      <c r="D24" s="6">
        <f t="shared" si="1"/>
        <v>0.64</v>
      </c>
      <c r="K24" s="84"/>
    </row>
    <row r="25" spans="1:11">
      <c r="A25" s="12" t="str">
        <f>Referencias!B22</f>
        <v>Impressao Capa A4</v>
      </c>
      <c r="B25" s="13">
        <v>2</v>
      </c>
      <c r="C25" s="6">
        <f>Referencias!F22</f>
        <v>0.5</v>
      </c>
      <c r="D25" s="6">
        <f t="shared" si="1"/>
        <v>1</v>
      </c>
      <c r="K25" s="84"/>
    </row>
    <row r="26" spans="1:11">
      <c r="A26" s="12" t="str">
        <f>Referencias!B29</f>
        <v>Impressao Miolo Frente Verso A5</v>
      </c>
      <c r="B26" s="13">
        <v>80</v>
      </c>
      <c r="C26" s="6">
        <f>Referencias!F29</f>
        <v>0.06</v>
      </c>
      <c r="D26" s="6">
        <f t="shared" si="1"/>
        <v>4.8</v>
      </c>
      <c r="K26" s="84"/>
    </row>
    <row r="27" spans="1:11">
      <c r="A27" s="12" t="str">
        <f>Referencias!B62</f>
        <v>Frete</v>
      </c>
      <c r="B27" s="12"/>
      <c r="C27" s="6">
        <f>Referencias!F62</f>
        <v>0</v>
      </c>
      <c r="D27" s="6">
        <f t="shared" si="1"/>
        <v>0</v>
      </c>
      <c r="K27" s="84"/>
    </row>
    <row r="28" spans="1:11">
      <c r="A28" s="12" t="str">
        <f>Referencias!B15</f>
        <v>Desgaste Caderno A5</v>
      </c>
      <c r="B28" s="13">
        <v>1</v>
      </c>
      <c r="C28" s="6">
        <f>Referencias!F15</f>
        <v>2</v>
      </c>
      <c r="D28" s="6">
        <f t="shared" si="1"/>
        <v>2</v>
      </c>
      <c r="K28" s="84"/>
    </row>
    <row r="29" spans="1:11">
      <c r="A29" s="12" t="str">
        <f>Referencias!B17</f>
        <v>Embalagem Padrão</v>
      </c>
      <c r="B29" s="13">
        <v>1</v>
      </c>
      <c r="C29" s="6">
        <f>Referencias!F17</f>
        <v>1.5</v>
      </c>
      <c r="D29" s="6">
        <f t="shared" si="1"/>
        <v>1.5</v>
      </c>
      <c r="K29" s="84"/>
    </row>
    <row r="30" spans="1:11">
      <c r="A30" s="2" t="s">
        <v>312</v>
      </c>
      <c r="B30" s="12"/>
      <c r="C30" s="10"/>
      <c r="D30" s="3">
        <f>SUM(D19:D29)</f>
        <v>20.309999999999999</v>
      </c>
      <c r="K30" s="84"/>
    </row>
    <row r="31" spans="1:11">
      <c r="A31" s="2" t="s">
        <v>313</v>
      </c>
      <c r="B31" s="15">
        <v>0.55000000000000004</v>
      </c>
      <c r="C31" s="6">
        <f>D30*B31</f>
        <v>11.170500000000001</v>
      </c>
      <c r="D31" s="3">
        <f>D30+C31</f>
        <v>31.480499999999999</v>
      </c>
      <c r="E31" s="92"/>
      <c r="F31" s="93"/>
      <c r="G31" s="93"/>
      <c r="K31" s="84"/>
    </row>
    <row r="32" spans="1:11">
      <c r="A32" s="2" t="s">
        <v>314</v>
      </c>
      <c r="B32" s="40" t="s">
        <v>330</v>
      </c>
      <c r="C32" s="36" t="s">
        <v>331</v>
      </c>
      <c r="D32" s="10"/>
      <c r="E32" s="7"/>
      <c r="F32" s="7"/>
      <c r="G32" s="7"/>
      <c r="K32" s="84"/>
    </row>
    <row r="33" spans="1:11">
      <c r="A33" s="2" t="s">
        <v>315</v>
      </c>
      <c r="B33" s="37"/>
      <c r="C33" s="41"/>
      <c r="D33" s="3">
        <v>35</v>
      </c>
      <c r="E33" s="16"/>
      <c r="F33" s="16"/>
      <c r="G33" s="16"/>
      <c r="K33" s="84"/>
    </row>
    <row r="34" spans="1:11">
      <c r="K34" s="84"/>
    </row>
    <row r="35" spans="1:11">
      <c r="A35" s="89" t="s">
        <v>432</v>
      </c>
      <c r="B35" s="90"/>
      <c r="C35" s="91"/>
      <c r="D35" s="3">
        <v>40</v>
      </c>
      <c r="K35" s="84"/>
    </row>
    <row r="36" spans="1:11">
      <c r="A36" s="12" t="str">
        <f>Mulher23!A21</f>
        <v>Ecopad c/3 M</v>
      </c>
      <c r="B36" s="13">
        <v>1</v>
      </c>
      <c r="C36" s="6">
        <f>Mulher23!D22</f>
        <v>0.89999999999999991</v>
      </c>
      <c r="D36" s="21">
        <f t="shared" ref="D36:D43" si="2">B36*C36</f>
        <v>0.89999999999999991</v>
      </c>
      <c r="K36" s="84"/>
    </row>
    <row r="37" spans="1:11">
      <c r="A37" s="12" t="str">
        <f>Mulher23!A51</f>
        <v>Esponja Massageadora em Crochê</v>
      </c>
      <c r="B37" s="26">
        <v>1</v>
      </c>
      <c r="C37" s="21">
        <f>Mulher23!D52</f>
        <v>2.88</v>
      </c>
      <c r="D37" s="21">
        <f t="shared" si="2"/>
        <v>2.88</v>
      </c>
      <c r="K37" s="84"/>
    </row>
    <row r="38" spans="1:11">
      <c r="A38" s="12" t="str">
        <f>A117</f>
        <v>Cesta em Tecido</v>
      </c>
      <c r="B38" s="13">
        <v>1</v>
      </c>
      <c r="C38" s="6">
        <f>D127</f>
        <v>9.7607999999999997</v>
      </c>
      <c r="D38" s="21">
        <f t="shared" si="2"/>
        <v>9.7607999999999997</v>
      </c>
      <c r="K38" s="84"/>
    </row>
    <row r="39" spans="1:11">
      <c r="A39" s="12" t="str">
        <f>Referencias!B127</f>
        <v>Sabonete Natura com 5</v>
      </c>
      <c r="B39" s="26">
        <v>1</v>
      </c>
      <c r="C39" s="21">
        <f>Referencias!F127</f>
        <v>5.58</v>
      </c>
      <c r="D39" s="21">
        <f t="shared" si="2"/>
        <v>5.58</v>
      </c>
      <c r="K39" s="84"/>
    </row>
    <row r="40" spans="1:11">
      <c r="A40" s="12" t="str">
        <f>Referencias!B101</f>
        <v>Máscara Facial de Limpeza</v>
      </c>
      <c r="B40" s="10">
        <v>2</v>
      </c>
      <c r="C40" s="6">
        <f>Referencias!F101</f>
        <v>1.02</v>
      </c>
      <c r="D40" s="21">
        <f t="shared" si="2"/>
        <v>2.04</v>
      </c>
      <c r="K40" s="84"/>
    </row>
    <row r="41" spans="1:11" ht="15">
      <c r="A41" s="12" t="str">
        <f>Referencias!B62</f>
        <v>Frete</v>
      </c>
      <c r="B41" s="12"/>
      <c r="C41" s="6">
        <f>Referencias!F62</f>
        <v>0</v>
      </c>
      <c r="D41" s="21">
        <f t="shared" si="2"/>
        <v>0</v>
      </c>
    </row>
    <row r="42" spans="1:11" ht="15">
      <c r="A42" s="12" t="str">
        <f>Referencias!B14</f>
        <v>Desgaste Bloquinho/Outros</v>
      </c>
      <c r="B42" s="13">
        <v>1</v>
      </c>
      <c r="C42" s="6">
        <f>Referencias!F14</f>
        <v>0.5</v>
      </c>
      <c r="D42" s="6">
        <f t="shared" si="2"/>
        <v>0.5</v>
      </c>
    </row>
    <row r="43" spans="1:11" ht="15">
      <c r="A43" s="12" t="str">
        <f>Referencias!B17</f>
        <v>Embalagem Padrão</v>
      </c>
      <c r="B43" s="13">
        <v>1</v>
      </c>
      <c r="C43" s="6">
        <f>Referencias!F17</f>
        <v>1.5</v>
      </c>
      <c r="D43" s="6">
        <f t="shared" si="2"/>
        <v>1.5</v>
      </c>
    </row>
    <row r="44" spans="1:11" ht="15">
      <c r="A44" s="2" t="s">
        <v>312</v>
      </c>
      <c r="B44" s="12"/>
      <c r="C44" s="10"/>
      <c r="D44" s="3">
        <f>SUM(D36:D43)</f>
        <v>23.160799999999998</v>
      </c>
    </row>
    <row r="45" spans="1:11" ht="15">
      <c r="A45" s="2" t="s">
        <v>313</v>
      </c>
      <c r="B45" s="15">
        <v>0.55000000000000004</v>
      </c>
      <c r="C45" s="6">
        <f>D44*B45</f>
        <v>12.738440000000001</v>
      </c>
      <c r="D45" s="3">
        <f>D44+C45</f>
        <v>35.899239999999999</v>
      </c>
      <c r="E45" s="92"/>
      <c r="F45" s="93"/>
      <c r="G45" s="93"/>
    </row>
    <row r="46" spans="1:11" ht="15">
      <c r="A46" s="2" t="s">
        <v>314</v>
      </c>
      <c r="B46" s="40"/>
      <c r="C46" s="36"/>
      <c r="D46" s="10"/>
      <c r="E46" s="7"/>
      <c r="F46" s="7"/>
      <c r="G46" s="7"/>
    </row>
    <row r="47" spans="1:11" ht="15">
      <c r="A47" s="2" t="s">
        <v>315</v>
      </c>
      <c r="B47" s="37"/>
      <c r="C47" s="41"/>
      <c r="D47" s="3">
        <v>40</v>
      </c>
      <c r="E47" s="16"/>
      <c r="F47" s="16"/>
      <c r="G47" s="16"/>
    </row>
    <row r="49" spans="1:7" ht="15">
      <c r="A49" s="89" t="s">
        <v>433</v>
      </c>
      <c r="B49" s="90"/>
      <c r="C49" s="91"/>
      <c r="D49" s="3">
        <v>15</v>
      </c>
    </row>
    <row r="50" spans="1:7" ht="15">
      <c r="A50" s="12" t="str">
        <f>Mulher23!A1</f>
        <v>Ecopad c/5 P</v>
      </c>
      <c r="B50" s="13">
        <v>1</v>
      </c>
      <c r="C50" s="6">
        <f>Mulher23!D2</f>
        <v>0.89999999999999991</v>
      </c>
      <c r="D50" s="6">
        <f t="shared" ref="D50:D55" si="3">B50*C50</f>
        <v>0.89999999999999991</v>
      </c>
    </row>
    <row r="51" spans="1:7" ht="15">
      <c r="A51" s="12" t="str">
        <f>Referencias!B101</f>
        <v>Máscara Facial de Limpeza</v>
      </c>
      <c r="B51" s="13">
        <v>2</v>
      </c>
      <c r="C51" s="6">
        <f>Referencias!F101</f>
        <v>1.02</v>
      </c>
      <c r="D51" s="6">
        <f t="shared" si="3"/>
        <v>2.04</v>
      </c>
    </row>
    <row r="52" spans="1:7" ht="15">
      <c r="A52" s="12" t="str">
        <f>Mulher23!A41</f>
        <v>Bolsa para Ecopad em Croche</v>
      </c>
      <c r="B52" s="12">
        <v>1</v>
      </c>
      <c r="C52" s="6">
        <f>Mulher23!D42</f>
        <v>1.2</v>
      </c>
      <c r="D52" s="6">
        <f t="shared" si="3"/>
        <v>1.2</v>
      </c>
    </row>
    <row r="53" spans="1:7" ht="15">
      <c r="A53" s="12" t="str">
        <f>Referencias!B62</f>
        <v>Frete</v>
      </c>
      <c r="B53" s="12"/>
      <c r="C53" s="6">
        <f>Referencias!F62</f>
        <v>0</v>
      </c>
      <c r="D53" s="6">
        <f t="shared" si="3"/>
        <v>0</v>
      </c>
    </row>
    <row r="54" spans="1:7" ht="15">
      <c r="A54" s="12" t="str">
        <f>Referencias!B14</f>
        <v>Desgaste Bloquinho/Outros</v>
      </c>
      <c r="B54" s="13">
        <v>1</v>
      </c>
      <c r="C54" s="6">
        <f>Referencias!F14</f>
        <v>0.5</v>
      </c>
      <c r="D54" s="6">
        <f t="shared" si="3"/>
        <v>0.5</v>
      </c>
    </row>
    <row r="55" spans="1:7" ht="15">
      <c r="A55" s="12" t="str">
        <f>Referencias!B17</f>
        <v>Embalagem Padrão</v>
      </c>
      <c r="B55" s="13">
        <v>1</v>
      </c>
      <c r="C55" s="6">
        <f>Referencias!F17</f>
        <v>1.5</v>
      </c>
      <c r="D55" s="6">
        <f t="shared" si="3"/>
        <v>1.5</v>
      </c>
    </row>
    <row r="56" spans="1:7" ht="15">
      <c r="A56" s="2" t="s">
        <v>312</v>
      </c>
      <c r="B56" s="12"/>
      <c r="C56" s="6"/>
      <c r="D56" s="3">
        <f>SUM(D50:D55)</f>
        <v>6.14</v>
      </c>
    </row>
    <row r="57" spans="1:7" ht="15">
      <c r="A57" s="2" t="s">
        <v>313</v>
      </c>
      <c r="B57" s="15">
        <v>0.55000000000000004</v>
      </c>
      <c r="C57" s="6">
        <f>D56*B57</f>
        <v>3.3770000000000002</v>
      </c>
      <c r="D57" s="3">
        <f>D56+C57</f>
        <v>9.5169999999999995</v>
      </c>
      <c r="E57" s="92"/>
      <c r="F57" s="93"/>
      <c r="G57" s="93"/>
    </row>
    <row r="58" spans="1:7" ht="15">
      <c r="A58" s="2" t="s">
        <v>314</v>
      </c>
      <c r="B58" s="40" t="s">
        <v>330</v>
      </c>
      <c r="C58" s="36"/>
      <c r="D58" s="10"/>
      <c r="E58" s="7"/>
      <c r="F58" s="7"/>
      <c r="G58" s="7"/>
    </row>
    <row r="59" spans="1:7" ht="15">
      <c r="A59" s="2" t="s">
        <v>315</v>
      </c>
      <c r="B59" s="37">
        <v>84.9</v>
      </c>
      <c r="C59" s="36"/>
      <c r="D59" s="3">
        <v>15</v>
      </c>
      <c r="E59" s="16"/>
      <c r="F59" s="16"/>
      <c r="G59" s="16"/>
    </row>
    <row r="61" spans="1:7" ht="15">
      <c r="A61" s="89" t="s">
        <v>434</v>
      </c>
      <c r="B61" s="90"/>
      <c r="C61" s="91"/>
      <c r="D61" s="3">
        <v>30</v>
      </c>
    </row>
    <row r="62" spans="1:7" ht="15">
      <c r="A62" s="12" t="str">
        <f>Referencias!B58</f>
        <v>Papelão 16x22</v>
      </c>
      <c r="B62" s="13">
        <v>2</v>
      </c>
      <c r="C62" s="6">
        <f>Referencias!F58</f>
        <v>1.5</v>
      </c>
      <c r="D62" s="6">
        <f t="shared" ref="D62:D72" si="4">B62*C62</f>
        <v>3</v>
      </c>
    </row>
    <row r="63" spans="1:7" ht="15">
      <c r="A63" s="12" t="str">
        <f>Referencias!B53</f>
        <v>Papel fotografico A4</v>
      </c>
      <c r="B63" s="13">
        <v>2</v>
      </c>
      <c r="C63" s="6">
        <f>Referencias!F53</f>
        <v>0.8</v>
      </c>
      <c r="D63" s="6">
        <f t="shared" si="4"/>
        <v>1.6</v>
      </c>
    </row>
    <row r="64" spans="1:7" ht="15">
      <c r="A64" s="12" t="str">
        <f>Referencias!B31</f>
        <v>bopp</v>
      </c>
      <c r="B64" s="13">
        <f>0.3*2</f>
        <v>0.6</v>
      </c>
      <c r="C64" s="6">
        <f>Referencias!F31</f>
        <v>0.45</v>
      </c>
      <c r="D64" s="6">
        <f t="shared" si="4"/>
        <v>0.27</v>
      </c>
    </row>
    <row r="65" spans="1:7" ht="15">
      <c r="A65" s="12" t="str">
        <f>Referencias!B48</f>
        <v>Papel guarda 15,5x21,5 offset adesivo</v>
      </c>
      <c r="B65" s="13">
        <v>2</v>
      </c>
      <c r="C65" s="6">
        <f>Referencias!F48</f>
        <v>0.75</v>
      </c>
      <c r="D65" s="6">
        <f t="shared" si="4"/>
        <v>1.5</v>
      </c>
    </row>
    <row r="66" spans="1:7" ht="15">
      <c r="A66" s="12" t="str">
        <f>Referencias!B45</f>
        <v>miolo 90gr A5</v>
      </c>
      <c r="B66" s="13">
        <v>51</v>
      </c>
      <c r="C66" s="6">
        <f>Referencias!F45</f>
        <v>0.05</v>
      </c>
      <c r="D66" s="6">
        <f t="shared" si="4"/>
        <v>2.5500000000000003</v>
      </c>
    </row>
    <row r="67" spans="1:7" ht="15">
      <c r="A67" s="12" t="str">
        <f>Referencias!B69</f>
        <v>Espiral 20mm</v>
      </c>
      <c r="B67" s="13">
        <v>1</v>
      </c>
      <c r="C67" s="6">
        <f>Referencias!F69</f>
        <v>0.64</v>
      </c>
      <c r="D67" s="6">
        <f t="shared" si="4"/>
        <v>0.64</v>
      </c>
    </row>
    <row r="68" spans="1:7" ht="15">
      <c r="A68" s="12" t="str">
        <f>Referencias!B22</f>
        <v>Impressao Capa A4</v>
      </c>
      <c r="B68" s="13">
        <v>2</v>
      </c>
      <c r="C68" s="6">
        <f>Referencias!F22</f>
        <v>0.5</v>
      </c>
      <c r="D68" s="6">
        <f t="shared" si="4"/>
        <v>1</v>
      </c>
    </row>
    <row r="69" spans="1:7" ht="15">
      <c r="A69" s="12" t="str">
        <f>Referencias!B29</f>
        <v>Impressao Miolo Frente Verso A5</v>
      </c>
      <c r="B69" s="13">
        <v>51</v>
      </c>
      <c r="C69" s="6">
        <f>Referencias!F29</f>
        <v>0.06</v>
      </c>
      <c r="D69" s="6">
        <f t="shared" si="4"/>
        <v>3.06</v>
      </c>
    </row>
    <row r="70" spans="1:7" ht="15">
      <c r="A70" s="12" t="str">
        <f>Referencias!B62</f>
        <v>Frete</v>
      </c>
      <c r="B70" s="12">
        <v>0</v>
      </c>
      <c r="C70" s="6">
        <f>Referencias!F62</f>
        <v>0</v>
      </c>
      <c r="D70" s="6">
        <f t="shared" si="4"/>
        <v>0</v>
      </c>
    </row>
    <row r="71" spans="1:7" ht="15">
      <c r="A71" s="12" t="str">
        <f>Referencias!B15</f>
        <v>Desgaste Caderno A5</v>
      </c>
      <c r="B71" s="13">
        <v>1</v>
      </c>
      <c r="C71" s="6">
        <f>Referencias!F15</f>
        <v>2</v>
      </c>
      <c r="D71" s="6">
        <f t="shared" si="4"/>
        <v>2</v>
      </c>
    </row>
    <row r="72" spans="1:7" ht="15">
      <c r="A72" s="12" t="str">
        <f>Referencias!B17</f>
        <v>Embalagem Padrão</v>
      </c>
      <c r="B72" s="13">
        <v>1</v>
      </c>
      <c r="C72" s="6">
        <f>Referencias!F17</f>
        <v>1.5</v>
      </c>
      <c r="D72" s="6">
        <f t="shared" si="4"/>
        <v>1.5</v>
      </c>
    </row>
    <row r="73" spans="1:7" ht="15">
      <c r="A73" s="2" t="s">
        <v>312</v>
      </c>
      <c r="B73" s="12"/>
      <c r="C73" s="10"/>
      <c r="D73" s="3">
        <f>SUM(D62:D72)</f>
        <v>17.12</v>
      </c>
    </row>
    <row r="74" spans="1:7" ht="15" customHeight="1">
      <c r="A74" s="2" t="s">
        <v>313</v>
      </c>
      <c r="B74" s="15">
        <v>0.55000000000000004</v>
      </c>
      <c r="C74" s="6">
        <f>D73*B74</f>
        <v>9.4160000000000021</v>
      </c>
      <c r="D74" s="3">
        <f>D73+C74</f>
        <v>26.536000000000001</v>
      </c>
      <c r="E74" s="92"/>
      <c r="F74" s="93"/>
      <c r="G74" s="93"/>
    </row>
    <row r="75" spans="1:7" ht="15">
      <c r="A75" s="2" t="s">
        <v>314</v>
      </c>
      <c r="B75" s="40" t="s">
        <v>330</v>
      </c>
      <c r="C75" s="36" t="s">
        <v>331</v>
      </c>
      <c r="D75" s="10"/>
      <c r="E75" s="7"/>
      <c r="F75" s="7"/>
      <c r="G75" s="7"/>
    </row>
    <row r="76" spans="1:7" ht="15">
      <c r="A76" s="2" t="s">
        <v>315</v>
      </c>
      <c r="B76" s="37"/>
      <c r="C76" s="41"/>
      <c r="D76" s="3">
        <v>30</v>
      </c>
      <c r="E76" s="16"/>
      <c r="F76" s="16"/>
      <c r="G76" s="16"/>
    </row>
    <row r="78" spans="1:7" ht="15">
      <c r="A78" s="89" t="s">
        <v>357</v>
      </c>
      <c r="B78" s="90"/>
      <c r="C78" s="91"/>
      <c r="D78" s="3">
        <v>15</v>
      </c>
    </row>
    <row r="79" spans="1:7" ht="15">
      <c r="A79" s="12" t="str">
        <f>Referencias!B128</f>
        <v>Couro 7,5 cm x 3 cm</v>
      </c>
      <c r="B79" s="13">
        <v>2</v>
      </c>
      <c r="C79" s="6">
        <f>Referencias!F128</f>
        <v>0.02</v>
      </c>
      <c r="D79" s="6">
        <f t="shared" ref="D79:D87" si="5">B79*C79</f>
        <v>0.04</v>
      </c>
    </row>
    <row r="80" spans="1:7" ht="15">
      <c r="A80" s="12" t="str">
        <f>Referencias!B129</f>
        <v>miolo 75gr 3cm x 5 cm</v>
      </c>
      <c r="B80" s="13">
        <v>10</v>
      </c>
      <c r="C80" s="6">
        <f>Referencias!F129</f>
        <v>0.01</v>
      </c>
      <c r="D80" s="6">
        <f t="shared" si="5"/>
        <v>0.1</v>
      </c>
    </row>
    <row r="81" spans="1:7" ht="15">
      <c r="A81" s="12" t="str">
        <f>Referencias!B5</f>
        <v>Cordão Encerado Settanyl</v>
      </c>
      <c r="B81" s="13">
        <v>0.2</v>
      </c>
      <c r="C81" s="6">
        <f>Referencias!F5</f>
        <v>0.16</v>
      </c>
      <c r="D81" s="6">
        <f t="shared" si="5"/>
        <v>3.2000000000000001E-2</v>
      </c>
    </row>
    <row r="82" spans="1:7" ht="15">
      <c r="A82" s="12" t="str">
        <f>Referencias!B132</f>
        <v>Argola para Chaveiro</v>
      </c>
      <c r="B82" s="13">
        <v>1</v>
      </c>
      <c r="C82" s="6">
        <f>Referencias!F132</f>
        <v>0.1</v>
      </c>
      <c r="D82" s="6">
        <f t="shared" si="5"/>
        <v>0.1</v>
      </c>
    </row>
    <row r="83" spans="1:7" ht="15">
      <c r="A83" s="12" t="str">
        <f>Referencias!B130</f>
        <v>Cordão cetim</v>
      </c>
      <c r="B83" s="13">
        <v>0.9</v>
      </c>
      <c r="C83" s="6">
        <f>Referencias!F130</f>
        <v>0.21</v>
      </c>
      <c r="D83" s="6">
        <f t="shared" si="5"/>
        <v>0.189</v>
      </c>
    </row>
    <row r="84" spans="1:7" ht="15">
      <c r="A84" s="12" t="str">
        <f>Referencias!B131</f>
        <v>Tira couro fechamento</v>
      </c>
      <c r="B84" s="12">
        <v>0.5</v>
      </c>
      <c r="C84" s="6">
        <f>Referencias!F131</f>
        <v>0.02</v>
      </c>
      <c r="D84" s="6">
        <f t="shared" si="5"/>
        <v>0.01</v>
      </c>
    </row>
    <row r="85" spans="1:7" ht="15">
      <c r="A85" s="12" t="str">
        <f>Referencias!B62</f>
        <v>Frete</v>
      </c>
      <c r="B85" s="12"/>
      <c r="C85" s="6">
        <f>Referencias!F62</f>
        <v>0</v>
      </c>
      <c r="D85" s="6">
        <f t="shared" si="5"/>
        <v>0</v>
      </c>
    </row>
    <row r="86" spans="1:7" ht="15">
      <c r="A86" s="12" t="str">
        <f>Referencias!B15</f>
        <v>Desgaste Caderno A5</v>
      </c>
      <c r="B86" s="13">
        <v>1</v>
      </c>
      <c r="C86" s="6">
        <f>Referencias!F15</f>
        <v>2</v>
      </c>
      <c r="D86" s="6">
        <f t="shared" si="5"/>
        <v>2</v>
      </c>
    </row>
    <row r="87" spans="1:7" ht="15">
      <c r="A87" s="12" t="str">
        <f>Referencias!B17</f>
        <v>Embalagem Padrão</v>
      </c>
      <c r="B87" s="13">
        <v>1</v>
      </c>
      <c r="C87" s="6">
        <f>Referencias!F17</f>
        <v>1.5</v>
      </c>
      <c r="D87" s="6">
        <f t="shared" si="5"/>
        <v>1.5</v>
      </c>
    </row>
    <row r="88" spans="1:7" ht="15">
      <c r="A88" s="2" t="s">
        <v>312</v>
      </c>
      <c r="B88" s="12"/>
      <c r="C88" s="10"/>
      <c r="D88" s="3">
        <f>SUM(D79:D87)</f>
        <v>3.9710000000000001</v>
      </c>
      <c r="E88" s="92"/>
      <c r="F88" s="93"/>
      <c r="G88" s="93"/>
    </row>
    <row r="89" spans="1:7" ht="15">
      <c r="A89" s="2" t="s">
        <v>313</v>
      </c>
      <c r="B89" s="15">
        <v>0.55000000000000004</v>
      </c>
      <c r="C89" s="6">
        <f>D88*B89</f>
        <v>2.18405</v>
      </c>
      <c r="D89" s="3">
        <f>D88+C89</f>
        <v>6.1550500000000001</v>
      </c>
      <c r="E89" s="7"/>
      <c r="F89" s="7"/>
      <c r="G89" s="7"/>
    </row>
    <row r="90" spans="1:7" ht="15">
      <c r="A90" s="2" t="s">
        <v>314</v>
      </c>
      <c r="B90" s="40"/>
      <c r="C90" s="36"/>
      <c r="D90" s="10"/>
      <c r="E90" s="16"/>
      <c r="F90" s="16"/>
      <c r="G90" s="16"/>
    </row>
    <row r="91" spans="1:7" ht="15">
      <c r="A91" s="2" t="s">
        <v>315</v>
      </c>
      <c r="B91" s="37"/>
      <c r="C91" s="41"/>
      <c r="D91" s="3">
        <v>15</v>
      </c>
      <c r="E91" s="39"/>
      <c r="F91" s="39"/>
      <c r="G91" s="39"/>
    </row>
    <row r="93" spans="1:7" ht="15">
      <c r="A93" s="89" t="s">
        <v>393</v>
      </c>
      <c r="B93" s="90"/>
      <c r="C93" s="91"/>
      <c r="D93" s="11">
        <v>6</v>
      </c>
    </row>
    <row r="94" spans="1:7" ht="15">
      <c r="A94" s="12" t="str">
        <f>Referencias!B84</f>
        <v>Papel 180gr A4</v>
      </c>
      <c r="B94" s="13">
        <v>2</v>
      </c>
      <c r="C94" s="6">
        <f>Referencias!F84</f>
        <v>0.32</v>
      </c>
      <c r="D94" s="6">
        <f t="shared" ref="D94:D99" si="6">B94*C94</f>
        <v>0.64</v>
      </c>
    </row>
    <row r="95" spans="1:7" ht="15">
      <c r="A95" s="12" t="str">
        <f>Referencias!B85</f>
        <v>Alça - Fio Nautico circulo branco</v>
      </c>
      <c r="B95" s="13">
        <v>0.52</v>
      </c>
      <c r="C95" s="6">
        <f>Referencias!F85</f>
        <v>0.14000000000000001</v>
      </c>
      <c r="D95" s="6">
        <f t="shared" si="6"/>
        <v>7.2800000000000004E-2</v>
      </c>
    </row>
    <row r="96" spans="1:7" ht="15">
      <c r="A96" s="12" t="str">
        <f>Referencias!B83</f>
        <v>Impressão A4</v>
      </c>
      <c r="B96" s="13">
        <v>2</v>
      </c>
      <c r="C96" s="6">
        <f>Referencias!F83</f>
        <v>0.5</v>
      </c>
      <c r="D96" s="6">
        <f t="shared" si="6"/>
        <v>1</v>
      </c>
    </row>
    <row r="97" spans="1:7" ht="15">
      <c r="A97" s="12" t="str">
        <f>Referencias!B62</f>
        <v>Frete</v>
      </c>
      <c r="B97" s="12"/>
      <c r="C97" s="6">
        <f>Referencias!F62</f>
        <v>0</v>
      </c>
      <c r="D97" s="6">
        <f t="shared" si="6"/>
        <v>0</v>
      </c>
    </row>
    <row r="98" spans="1:7" ht="15">
      <c r="A98" s="12" t="str">
        <f>Referencias!B14</f>
        <v>Desgaste Bloquinho/Outros</v>
      </c>
      <c r="B98" s="13">
        <v>1</v>
      </c>
      <c r="C98" s="6">
        <f>Referencias!F14</f>
        <v>0.5</v>
      </c>
      <c r="D98" s="6">
        <f t="shared" si="6"/>
        <v>0.5</v>
      </c>
    </row>
    <row r="99" spans="1:7" ht="15">
      <c r="A99" s="12" t="str">
        <f>Referencias!B17</f>
        <v>Embalagem Padrão</v>
      </c>
      <c r="B99" s="13">
        <v>1</v>
      </c>
      <c r="C99" s="6">
        <f>Referencias!F17</f>
        <v>1.5</v>
      </c>
      <c r="D99" s="6">
        <f t="shared" si="6"/>
        <v>1.5</v>
      </c>
    </row>
    <row r="100" spans="1:7" ht="15">
      <c r="A100" s="2" t="s">
        <v>312</v>
      </c>
      <c r="B100" s="12"/>
      <c r="C100" s="10"/>
      <c r="D100" s="3">
        <f>SUM(D94:D99)</f>
        <v>3.7128000000000001</v>
      </c>
    </row>
    <row r="101" spans="1:7" ht="15">
      <c r="A101" s="2" t="s">
        <v>313</v>
      </c>
      <c r="B101" s="15">
        <v>0.55000000000000004</v>
      </c>
      <c r="C101" s="6">
        <f>D100*B101</f>
        <v>2.0420400000000001</v>
      </c>
      <c r="D101" s="3">
        <f>D100+C101</f>
        <v>5.7548399999999997</v>
      </c>
      <c r="E101" s="92"/>
      <c r="F101" s="93"/>
      <c r="G101" s="93"/>
    </row>
    <row r="102" spans="1:7" ht="15">
      <c r="A102" s="2" t="s">
        <v>314</v>
      </c>
      <c r="B102" s="40"/>
      <c r="C102" s="36"/>
      <c r="D102" s="10"/>
      <c r="E102" s="7"/>
      <c r="F102" s="7"/>
      <c r="G102" s="7"/>
    </row>
    <row r="103" spans="1:7" ht="15">
      <c r="A103" s="2" t="s">
        <v>315</v>
      </c>
      <c r="B103" s="37"/>
      <c r="C103" s="41"/>
      <c r="D103" s="11">
        <v>6</v>
      </c>
      <c r="E103" s="16"/>
      <c r="F103" s="16"/>
      <c r="G103" s="16"/>
    </row>
    <row r="105" spans="1:7" ht="15">
      <c r="A105" s="89" t="s">
        <v>407</v>
      </c>
      <c r="B105" s="90"/>
      <c r="C105" s="91"/>
      <c r="D105" s="11">
        <v>7.5</v>
      </c>
    </row>
    <row r="106" spans="1:7" ht="15">
      <c r="A106" s="12" t="str">
        <f>Referencias!B84</f>
        <v>Papel 180gr A4</v>
      </c>
      <c r="B106" s="13">
        <v>3</v>
      </c>
      <c r="C106" s="6">
        <f>Referencias!F84</f>
        <v>0.32</v>
      </c>
      <c r="D106" s="6">
        <f t="shared" ref="D106:D111" si="7">B106*C106</f>
        <v>0.96</v>
      </c>
    </row>
    <row r="107" spans="1:7" ht="15">
      <c r="A107" s="12" t="str">
        <f>Referencias!B85</f>
        <v>Alça - Fio Nautico circulo branco</v>
      </c>
      <c r="B107" s="13">
        <v>0.64</v>
      </c>
      <c r="C107" s="6">
        <f>Referencias!F85</f>
        <v>0.14000000000000001</v>
      </c>
      <c r="D107" s="6">
        <f t="shared" si="7"/>
        <v>8.9600000000000013E-2</v>
      </c>
    </row>
    <row r="108" spans="1:7" ht="15">
      <c r="A108" s="12" t="str">
        <f>Referencias!B83</f>
        <v>Impressão A4</v>
      </c>
      <c r="B108" s="13">
        <v>3</v>
      </c>
      <c r="C108" s="6">
        <f>Referencias!F83</f>
        <v>0.5</v>
      </c>
      <c r="D108" s="6">
        <f t="shared" si="7"/>
        <v>1.5</v>
      </c>
    </row>
    <row r="109" spans="1:7" ht="15">
      <c r="A109" s="12" t="str">
        <f>Referencias!B62</f>
        <v>Frete</v>
      </c>
      <c r="B109" s="13">
        <v>0</v>
      </c>
      <c r="C109" s="6">
        <f>Referencias!F62</f>
        <v>0</v>
      </c>
      <c r="D109" s="6">
        <f t="shared" si="7"/>
        <v>0</v>
      </c>
    </row>
    <row r="110" spans="1:7" ht="15">
      <c r="A110" s="12" t="str">
        <f>Referencias!B14</f>
        <v>Desgaste Bloquinho/Outros</v>
      </c>
      <c r="B110" s="12">
        <v>1</v>
      </c>
      <c r="C110" s="6">
        <f>Referencias!F14</f>
        <v>0.5</v>
      </c>
      <c r="D110" s="6">
        <f t="shared" si="7"/>
        <v>0.5</v>
      </c>
    </row>
    <row r="111" spans="1:7" ht="15">
      <c r="A111" s="12" t="str">
        <f>Referencias!B17</f>
        <v>Embalagem Padrão</v>
      </c>
      <c r="B111" s="13">
        <v>1</v>
      </c>
      <c r="C111" s="6">
        <f>Referencias!F17</f>
        <v>1.5</v>
      </c>
      <c r="D111" s="6">
        <f t="shared" si="7"/>
        <v>1.5</v>
      </c>
    </row>
    <row r="112" spans="1:7" ht="15">
      <c r="A112" s="2" t="s">
        <v>312</v>
      </c>
      <c r="B112" s="12"/>
      <c r="C112" s="6"/>
      <c r="D112" s="3">
        <f>SUM(D106:D111)</f>
        <v>4.5495999999999999</v>
      </c>
    </row>
    <row r="113" spans="1:18" ht="15">
      <c r="A113" s="2" t="s">
        <v>313</v>
      </c>
      <c r="B113" s="15">
        <v>0.55000000000000004</v>
      </c>
      <c r="C113" s="6">
        <f>D112*B113</f>
        <v>2.5022800000000003</v>
      </c>
      <c r="D113" s="3">
        <f>D112+C113</f>
        <v>7.0518800000000006</v>
      </c>
      <c r="E113" s="92"/>
      <c r="F113" s="93"/>
      <c r="G113" s="93"/>
    </row>
    <row r="114" spans="1:18" ht="15">
      <c r="A114" s="2" t="s">
        <v>314</v>
      </c>
      <c r="B114" s="12"/>
      <c r="C114" s="10"/>
      <c r="D114" s="10"/>
      <c r="E114" s="7"/>
      <c r="F114" s="7"/>
      <c r="G114" s="7"/>
    </row>
    <row r="115" spans="1:18" ht="15">
      <c r="A115" s="2" t="s">
        <v>315</v>
      </c>
      <c r="B115" s="12"/>
      <c r="C115" s="10"/>
      <c r="D115" s="11">
        <v>7.5</v>
      </c>
      <c r="E115" s="16"/>
      <c r="F115" s="16"/>
      <c r="G115" s="16"/>
    </row>
    <row r="117" spans="1:18" ht="15">
      <c r="A117" s="89" t="s">
        <v>435</v>
      </c>
      <c r="B117" s="90"/>
      <c r="C117" s="91"/>
      <c r="D117" s="11">
        <v>15</v>
      </c>
      <c r="G117" s="14"/>
      <c r="N117" s="7"/>
      <c r="O117" s="31"/>
      <c r="P117" s="31"/>
      <c r="Q117" s="47"/>
      <c r="R117" s="31"/>
    </row>
    <row r="118" spans="1:18" ht="15">
      <c r="A118" s="12" t="str">
        <f>Referencias!B125</f>
        <v>Manta R1 1mx1,4m</v>
      </c>
      <c r="B118" s="15">
        <v>0.09</v>
      </c>
      <c r="C118" s="6">
        <f>Referencias!F125</f>
        <v>21.9</v>
      </c>
      <c r="D118" s="6">
        <f t="shared" ref="D118:D126" si="8">B118*C118</f>
        <v>1.9709999999999999</v>
      </c>
      <c r="N118" s="31"/>
      <c r="O118" s="8"/>
      <c r="P118" s="8"/>
      <c r="Q118" s="8"/>
      <c r="R118" s="85"/>
    </row>
    <row r="119" spans="1:18" ht="15">
      <c r="A119" s="12" t="str">
        <f>Referencias!B126</f>
        <v>Tecido Tricoline 1mx1,4m</v>
      </c>
      <c r="B119" s="15">
        <v>0.18</v>
      </c>
      <c r="C119" s="6">
        <f>Referencias!F126</f>
        <v>31</v>
      </c>
      <c r="D119" s="6">
        <f t="shared" si="8"/>
        <v>5.58</v>
      </c>
      <c r="N119" s="31"/>
      <c r="O119" s="8"/>
      <c r="P119" s="8"/>
      <c r="Q119" s="8"/>
      <c r="R119" s="31"/>
    </row>
    <row r="120" spans="1:18" ht="15">
      <c r="A120" s="12" t="str">
        <f>Referencias!B80</f>
        <v>Linha Dinner</v>
      </c>
      <c r="B120" s="13">
        <v>0.65</v>
      </c>
      <c r="C120" s="6">
        <f>Referencias!F80</f>
        <v>0.1</v>
      </c>
      <c r="D120" s="6">
        <f t="shared" si="8"/>
        <v>6.5000000000000002E-2</v>
      </c>
      <c r="N120" s="31"/>
      <c r="O120" s="8"/>
      <c r="P120" s="8"/>
      <c r="Q120" s="8"/>
      <c r="R120" s="31"/>
    </row>
    <row r="121" spans="1:18" ht="15">
      <c r="A121" s="12" t="str">
        <f>Referencias!B81</f>
        <v>Etiqueta Cetim 1,5 10m</v>
      </c>
      <c r="B121" s="13">
        <v>0.1</v>
      </c>
      <c r="C121" s="6">
        <f>Referencias!F81</f>
        <v>0.25</v>
      </c>
      <c r="D121" s="6">
        <f t="shared" si="8"/>
        <v>2.5000000000000001E-2</v>
      </c>
      <c r="N121" s="31"/>
      <c r="O121" s="31"/>
      <c r="Q121" s="8"/>
      <c r="R121" s="69"/>
    </row>
    <row r="122" spans="1:18" ht="15">
      <c r="A122" s="12" t="str">
        <f>Referencias!B82</f>
        <v>Papel Transfer</v>
      </c>
      <c r="B122" s="13">
        <v>0.02</v>
      </c>
      <c r="C122" s="6">
        <f>Referencias!F82</f>
        <v>5.49</v>
      </c>
      <c r="D122" s="6">
        <f t="shared" si="8"/>
        <v>0.10980000000000001</v>
      </c>
      <c r="N122" s="7"/>
      <c r="O122" s="31"/>
      <c r="P122" s="31"/>
      <c r="Q122" s="47"/>
    </row>
    <row r="123" spans="1:18" ht="15">
      <c r="A123" s="12" t="str">
        <f>Referencias!B83</f>
        <v>Impressão A4</v>
      </c>
      <c r="B123" s="12">
        <v>0.02</v>
      </c>
      <c r="C123" s="6">
        <f>Referencias!F83</f>
        <v>0.5</v>
      </c>
      <c r="D123" s="6">
        <f t="shared" si="8"/>
        <v>0.01</v>
      </c>
      <c r="N123" s="31"/>
      <c r="O123" s="8"/>
      <c r="P123" s="8"/>
      <c r="Q123" s="8"/>
    </row>
    <row r="124" spans="1:18" ht="15">
      <c r="A124" s="12" t="str">
        <f>Referencias!B62</f>
        <v>Frete</v>
      </c>
      <c r="B124" s="13">
        <v>0</v>
      </c>
      <c r="C124" s="6">
        <f>Referencias!F62</f>
        <v>0</v>
      </c>
      <c r="D124" s="6">
        <f t="shared" si="8"/>
        <v>0</v>
      </c>
      <c r="N124" s="14"/>
      <c r="O124" s="8"/>
      <c r="P124" s="8"/>
      <c r="Q124" s="8"/>
    </row>
    <row r="125" spans="1:18" ht="15">
      <c r="A125" s="12" t="str">
        <f>Referencias!B14</f>
        <v>Desgaste Bloquinho/Outros</v>
      </c>
      <c r="B125" s="12">
        <v>1</v>
      </c>
      <c r="C125" s="6">
        <f>Referencias!F14</f>
        <v>0.5</v>
      </c>
      <c r="D125" s="6">
        <f t="shared" si="8"/>
        <v>0.5</v>
      </c>
      <c r="O125" s="8"/>
      <c r="P125" s="8"/>
      <c r="Q125" s="8"/>
    </row>
    <row r="126" spans="1:18" ht="15">
      <c r="A126" s="12" t="str">
        <f>Referencias!B17</f>
        <v>Embalagem Padrão</v>
      </c>
      <c r="B126" s="13">
        <v>1</v>
      </c>
      <c r="C126" s="6">
        <f>Referencias!F17</f>
        <v>1.5</v>
      </c>
      <c r="D126" s="6">
        <f t="shared" si="8"/>
        <v>1.5</v>
      </c>
      <c r="O126" s="31"/>
      <c r="P126" s="31"/>
      <c r="Q126" s="8"/>
    </row>
    <row r="127" spans="1:18" ht="15">
      <c r="A127" s="2" t="s">
        <v>312</v>
      </c>
      <c r="B127" s="12"/>
      <c r="C127" s="6"/>
      <c r="D127" s="3">
        <f>SUM(D118:D126)</f>
        <v>9.7607999999999997</v>
      </c>
    </row>
    <row r="128" spans="1:18" ht="15">
      <c r="A128" s="2" t="s">
        <v>313</v>
      </c>
      <c r="B128" s="15">
        <v>0.55000000000000004</v>
      </c>
      <c r="C128" s="6">
        <f>D127*B128</f>
        <v>5.3684400000000005</v>
      </c>
      <c r="D128" s="3">
        <f>D127+C128</f>
        <v>15.129239999999999</v>
      </c>
      <c r="E128" s="92"/>
      <c r="F128" s="93"/>
      <c r="G128" s="93"/>
    </row>
    <row r="129" spans="1:7" ht="15">
      <c r="A129" s="2" t="s">
        <v>314</v>
      </c>
      <c r="B129" s="12"/>
      <c r="C129" s="10"/>
      <c r="D129" s="10"/>
      <c r="E129" s="7"/>
      <c r="F129" s="7"/>
      <c r="G129" s="7"/>
    </row>
    <row r="130" spans="1:7" ht="15">
      <c r="A130" s="2" t="s">
        <v>315</v>
      </c>
      <c r="B130" s="12"/>
      <c r="C130" s="10"/>
      <c r="D130" s="11">
        <v>15</v>
      </c>
      <c r="E130" s="16"/>
      <c r="F130" s="16"/>
      <c r="G130" s="16"/>
    </row>
    <row r="132" spans="1:7" ht="15">
      <c r="A132" s="89" t="s">
        <v>436</v>
      </c>
      <c r="B132" s="90"/>
      <c r="C132" s="91"/>
      <c r="D132" s="11">
        <v>45</v>
      </c>
      <c r="G132" s="14"/>
    </row>
    <row r="133" spans="1:7" ht="15">
      <c r="A133" s="12" t="str">
        <f>A1</f>
        <v>Caderno gratidão</v>
      </c>
      <c r="B133" s="12">
        <v>1</v>
      </c>
      <c r="C133" s="6">
        <f>D13</f>
        <v>10.266</v>
      </c>
      <c r="D133" s="6">
        <f t="shared" ref="D133:D143" si="9">B133*C133</f>
        <v>10.266</v>
      </c>
    </row>
    <row r="134" spans="1:7" ht="15">
      <c r="A134" s="12" t="str">
        <f>A117</f>
        <v>Cesta em Tecido</v>
      </c>
      <c r="B134" s="13">
        <v>1</v>
      </c>
      <c r="C134" s="6">
        <f>D112</f>
        <v>4.5495999999999999</v>
      </c>
      <c r="D134" s="6">
        <f t="shared" si="9"/>
        <v>4.5495999999999999</v>
      </c>
    </row>
    <row r="135" spans="1:7" ht="15">
      <c r="A135" s="12" t="str">
        <f>Referencias!B133</f>
        <v>Kit Bolachas (1 Torrada, 1 Maisena, 1 Creem Cracker, 1 Chocolate, 1 Leite, 1 Gotas, 1 Banana com Canela)</v>
      </c>
      <c r="B135" s="13">
        <v>1</v>
      </c>
      <c r="C135" s="6">
        <f>Referencias!F133</f>
        <v>4.41</v>
      </c>
      <c r="D135" s="6">
        <f t="shared" si="9"/>
        <v>4.41</v>
      </c>
    </row>
    <row r="136" spans="1:7" ht="15">
      <c r="A136" s="12" t="str">
        <f>Referencias!B134</f>
        <v>Suco Caixinha Chefa 200ml</v>
      </c>
      <c r="B136" s="13">
        <v>1</v>
      </c>
      <c r="C136" s="6">
        <f>Referencias!F134</f>
        <v>1.19</v>
      </c>
      <c r="D136" s="6">
        <f t="shared" si="9"/>
        <v>1.19</v>
      </c>
    </row>
    <row r="137" spans="1:7" ht="15">
      <c r="A137" s="12" t="str">
        <f>Referencias!B135</f>
        <v>Açucar União Sache 5g</v>
      </c>
      <c r="B137" s="13">
        <v>2</v>
      </c>
      <c r="C137" s="6">
        <f>Referencias!F135</f>
        <v>0.32</v>
      </c>
      <c r="D137" s="6">
        <f t="shared" si="9"/>
        <v>0.64</v>
      </c>
    </row>
    <row r="138" spans="1:7" ht="15">
      <c r="A138" s="12" t="str">
        <f>Referencias!B136</f>
        <v>Café Pelé Sache</v>
      </c>
      <c r="B138" s="13">
        <v>1</v>
      </c>
      <c r="C138" s="6">
        <f>Referencias!F136</f>
        <v>0.43</v>
      </c>
      <c r="D138" s="6">
        <f t="shared" si="9"/>
        <v>0.43</v>
      </c>
    </row>
    <row r="139" spans="1:7" ht="15">
      <c r="A139" s="12" t="str">
        <f>Referencias!B137</f>
        <v>Capuccino 3 Corações Sache</v>
      </c>
      <c r="B139" s="12">
        <v>1</v>
      </c>
      <c r="C139" s="6">
        <f>Referencias!F137</f>
        <v>1.99</v>
      </c>
      <c r="D139" s="6">
        <f t="shared" si="9"/>
        <v>1.99</v>
      </c>
    </row>
    <row r="140" spans="1:7" ht="15">
      <c r="A140" s="12" t="str">
        <f>Referencias!B138</f>
        <v>Geleia Blister 15g</v>
      </c>
      <c r="B140" s="13">
        <v>2</v>
      </c>
      <c r="C140" s="6">
        <f>Referencias!F138</f>
        <v>0.66</v>
      </c>
      <c r="D140" s="6">
        <f t="shared" si="9"/>
        <v>1.32</v>
      </c>
    </row>
    <row r="141" spans="1:7" ht="15">
      <c r="A141" s="12" t="str">
        <f>Referencias!B62</f>
        <v>Frete</v>
      </c>
      <c r="B141" s="12">
        <v>0</v>
      </c>
      <c r="C141" s="6">
        <f>Referencias!F62</f>
        <v>0</v>
      </c>
      <c r="D141" s="6">
        <f t="shared" si="9"/>
        <v>0</v>
      </c>
    </row>
    <row r="142" spans="1:7" ht="15">
      <c r="A142" s="12" t="str">
        <f>Referencias!B14</f>
        <v>Desgaste Bloquinho/Outros</v>
      </c>
      <c r="B142" s="12">
        <v>1</v>
      </c>
      <c r="C142" s="6">
        <f>Referencias!F14</f>
        <v>0.5</v>
      </c>
      <c r="D142" s="6">
        <f t="shared" si="9"/>
        <v>0.5</v>
      </c>
    </row>
    <row r="143" spans="1:7" ht="15">
      <c r="A143" s="12" t="str">
        <f>Referencias!B17</f>
        <v>Embalagem Padrão</v>
      </c>
      <c r="B143" s="13">
        <v>1</v>
      </c>
      <c r="C143" s="6">
        <f>Referencias!F17</f>
        <v>1.5</v>
      </c>
      <c r="D143" s="6">
        <f t="shared" si="9"/>
        <v>1.5</v>
      </c>
    </row>
    <row r="144" spans="1:7" ht="15">
      <c r="A144" s="2" t="s">
        <v>312</v>
      </c>
      <c r="B144" s="12"/>
      <c r="C144" s="6"/>
      <c r="D144" s="3">
        <f>SUM(D133:D143)</f>
        <v>26.7956</v>
      </c>
    </row>
    <row r="145" spans="1:7" ht="15">
      <c r="A145" s="2" t="s">
        <v>313</v>
      </c>
      <c r="B145" s="15">
        <v>0.55000000000000004</v>
      </c>
      <c r="C145" s="6">
        <f>D144*B145</f>
        <v>14.737580000000001</v>
      </c>
      <c r="D145" s="3">
        <f>D144+C145</f>
        <v>41.533180000000002</v>
      </c>
      <c r="E145" s="92"/>
      <c r="F145" s="93"/>
      <c r="G145" s="93"/>
    </row>
    <row r="146" spans="1:7" ht="15">
      <c r="A146" s="2" t="s">
        <v>314</v>
      </c>
      <c r="B146" s="12"/>
      <c r="C146" s="10"/>
      <c r="D146" s="10"/>
      <c r="E146" s="7"/>
      <c r="F146" s="7"/>
      <c r="G146" s="7"/>
    </row>
    <row r="147" spans="1:7" ht="15">
      <c r="A147" s="2" t="s">
        <v>315</v>
      </c>
      <c r="B147" s="12"/>
      <c r="C147" s="10"/>
      <c r="D147" s="11">
        <v>45</v>
      </c>
      <c r="E147" s="16"/>
      <c r="F147" s="16"/>
      <c r="G147" s="16"/>
    </row>
    <row r="149" spans="1:7" ht="15">
      <c r="A149" s="89" t="s">
        <v>437</v>
      </c>
      <c r="B149" s="90"/>
      <c r="C149" s="91"/>
      <c r="D149" s="11">
        <v>40</v>
      </c>
      <c r="G149" s="14"/>
    </row>
    <row r="150" spans="1:7" ht="15">
      <c r="A150" s="12" t="e">
        <f>#REF!</f>
        <v>#REF!</v>
      </c>
      <c r="B150" s="12">
        <v>1</v>
      </c>
      <c r="C150" s="6" t="e">
        <f>#REF!</f>
        <v>#REF!</v>
      </c>
      <c r="D150" s="6" t="e">
        <f t="shared" ref="D150:D160" si="10">B150*C150</f>
        <v>#REF!</v>
      </c>
    </row>
    <row r="151" spans="1:7" ht="15">
      <c r="A151" s="12" t="str">
        <f>A134</f>
        <v>Cesta em Tecido</v>
      </c>
      <c r="B151" s="13">
        <v>1</v>
      </c>
      <c r="C151" s="6">
        <f>D112</f>
        <v>4.5495999999999999</v>
      </c>
      <c r="D151" s="6">
        <f t="shared" si="10"/>
        <v>4.5495999999999999</v>
      </c>
    </row>
    <row r="152" spans="1:7" ht="15">
      <c r="A152" s="12" t="str">
        <f>Referencias!B133</f>
        <v>Kit Bolachas (1 Torrada, 1 Maisena, 1 Creem Cracker, 1 Chocolate, 1 Leite, 1 Gotas, 1 Banana com Canela)</v>
      </c>
      <c r="B152" s="13">
        <v>1</v>
      </c>
      <c r="C152" s="6">
        <f>Referencias!F133</f>
        <v>4.41</v>
      </c>
      <c r="D152" s="6">
        <f t="shared" si="10"/>
        <v>4.41</v>
      </c>
    </row>
    <row r="153" spans="1:7" ht="15">
      <c r="A153" s="12" t="str">
        <f>Referencias!B134</f>
        <v>Suco Caixinha Chefa 200ml</v>
      </c>
      <c r="B153" s="13">
        <v>1</v>
      </c>
      <c r="C153" s="6">
        <f>Referencias!F134</f>
        <v>1.19</v>
      </c>
      <c r="D153" s="6">
        <f t="shared" si="10"/>
        <v>1.19</v>
      </c>
    </row>
    <row r="154" spans="1:7" ht="15">
      <c r="A154" s="12" t="str">
        <f>Referencias!B135</f>
        <v>Açucar União Sache 5g</v>
      </c>
      <c r="B154" s="13">
        <v>2</v>
      </c>
      <c r="C154" s="6">
        <f>Referencias!F135</f>
        <v>0.32</v>
      </c>
      <c r="D154" s="6">
        <f t="shared" si="10"/>
        <v>0.64</v>
      </c>
    </row>
    <row r="155" spans="1:7" ht="15">
      <c r="A155" s="12" t="str">
        <f>Referencias!B136</f>
        <v>Café Pelé Sache</v>
      </c>
      <c r="B155" s="13">
        <v>1</v>
      </c>
      <c r="C155" s="6">
        <f>Referencias!F136</f>
        <v>0.43</v>
      </c>
      <c r="D155" s="6">
        <f t="shared" si="10"/>
        <v>0.43</v>
      </c>
    </row>
    <row r="156" spans="1:7" ht="15">
      <c r="A156" s="12" t="str">
        <f>Referencias!B137</f>
        <v>Capuccino 3 Corações Sache</v>
      </c>
      <c r="B156" s="12">
        <v>1</v>
      </c>
      <c r="C156" s="6">
        <f>Referencias!F137</f>
        <v>1.99</v>
      </c>
      <c r="D156" s="6">
        <f t="shared" si="10"/>
        <v>1.99</v>
      </c>
    </row>
    <row r="157" spans="1:7" ht="15">
      <c r="A157" s="12" t="str">
        <f>Referencias!B138</f>
        <v>Geleia Blister 15g</v>
      </c>
      <c r="B157" s="13">
        <v>2</v>
      </c>
      <c r="C157" s="6">
        <f>Referencias!F138</f>
        <v>0.66</v>
      </c>
      <c r="D157" s="6">
        <f t="shared" si="10"/>
        <v>1.32</v>
      </c>
    </row>
    <row r="158" spans="1:7" ht="15">
      <c r="A158" s="12" t="str">
        <f>Referencias!B62</f>
        <v>Frete</v>
      </c>
      <c r="B158" s="12">
        <v>0</v>
      </c>
      <c r="C158" s="6">
        <f>Referencias!F62</f>
        <v>0</v>
      </c>
      <c r="D158" s="6">
        <f t="shared" si="10"/>
        <v>0</v>
      </c>
    </row>
    <row r="159" spans="1:7" ht="15">
      <c r="A159" s="12" t="str">
        <f>Referencias!B14</f>
        <v>Desgaste Bloquinho/Outros</v>
      </c>
      <c r="B159" s="12">
        <v>1</v>
      </c>
      <c r="C159" s="6">
        <f>Referencias!F14</f>
        <v>0.5</v>
      </c>
      <c r="D159" s="6">
        <f t="shared" si="10"/>
        <v>0.5</v>
      </c>
    </row>
    <row r="160" spans="1:7" ht="15">
      <c r="A160" s="12" t="str">
        <f>Referencias!B17</f>
        <v>Embalagem Padrão</v>
      </c>
      <c r="B160" s="13">
        <v>1</v>
      </c>
      <c r="C160" s="6">
        <f>Referencias!F17</f>
        <v>1.5</v>
      </c>
      <c r="D160" s="6">
        <f t="shared" si="10"/>
        <v>1.5</v>
      </c>
    </row>
    <row r="161" spans="1:7" ht="15">
      <c r="A161" s="2" t="s">
        <v>312</v>
      </c>
      <c r="B161" s="12"/>
      <c r="C161" s="6"/>
      <c r="D161" s="3" t="e">
        <f>SUM(D150:D160)</f>
        <v>#REF!</v>
      </c>
    </row>
    <row r="162" spans="1:7" ht="15">
      <c r="A162" s="2" t="s">
        <v>313</v>
      </c>
      <c r="B162" s="15">
        <v>0.55000000000000004</v>
      </c>
      <c r="C162" s="10" t="e">
        <f>D161*B162</f>
        <v>#REF!</v>
      </c>
      <c r="D162" s="3" t="e">
        <f>D161+C162</f>
        <v>#REF!</v>
      </c>
      <c r="E162" s="92"/>
      <c r="F162" s="93"/>
      <c r="G162" s="93"/>
    </row>
    <row r="163" spans="1:7" ht="15">
      <c r="A163" s="2" t="s">
        <v>314</v>
      </c>
      <c r="B163" s="12"/>
      <c r="C163" s="10"/>
      <c r="D163" s="10"/>
      <c r="E163" s="7"/>
      <c r="F163" s="7"/>
      <c r="G163" s="7"/>
    </row>
    <row r="164" spans="1:7" ht="15">
      <c r="A164" s="2" t="s">
        <v>315</v>
      </c>
      <c r="B164" s="12"/>
      <c r="C164" s="10"/>
      <c r="D164" s="11">
        <v>40</v>
      </c>
      <c r="E164" s="7"/>
      <c r="F164" s="7"/>
      <c r="G164" s="7"/>
    </row>
    <row r="166" spans="1:7" ht="15">
      <c r="A166" s="89" t="s">
        <v>438</v>
      </c>
      <c r="B166" s="90"/>
      <c r="C166" s="91"/>
      <c r="D166" s="11">
        <v>40</v>
      </c>
      <c r="G166" s="14"/>
    </row>
    <row r="167" spans="1:7" ht="15">
      <c r="A167" s="12" t="str">
        <f>A78</f>
        <v>Colar pingente caderno</v>
      </c>
      <c r="B167" s="12">
        <v>1</v>
      </c>
      <c r="C167" s="6">
        <f>D88</f>
        <v>3.9710000000000001</v>
      </c>
      <c r="D167" s="6">
        <f t="shared" ref="D167:D177" si="11">B167*C167</f>
        <v>3.9710000000000001</v>
      </c>
    </row>
    <row r="168" spans="1:7" ht="15">
      <c r="A168" s="12" t="str">
        <f>A151</f>
        <v>Cesta em Tecido</v>
      </c>
      <c r="B168" s="13">
        <v>1</v>
      </c>
      <c r="C168" s="6">
        <f>D112</f>
        <v>4.5495999999999999</v>
      </c>
      <c r="D168" s="6">
        <f t="shared" si="11"/>
        <v>4.5495999999999999</v>
      </c>
    </row>
    <row r="169" spans="1:7" ht="15">
      <c r="A169" s="12" t="str">
        <f>Referencias!B133</f>
        <v>Kit Bolachas (1 Torrada, 1 Maisena, 1 Creem Cracker, 1 Chocolate, 1 Leite, 1 Gotas, 1 Banana com Canela)</v>
      </c>
      <c r="B169" s="13">
        <v>1</v>
      </c>
      <c r="C169" s="6">
        <f>Referencias!F133</f>
        <v>4.41</v>
      </c>
      <c r="D169" s="6">
        <f t="shared" si="11"/>
        <v>4.41</v>
      </c>
    </row>
    <row r="170" spans="1:7" ht="15">
      <c r="A170" s="12" t="str">
        <f>Referencias!B134</f>
        <v>Suco Caixinha Chefa 200ml</v>
      </c>
      <c r="B170" s="13">
        <v>1</v>
      </c>
      <c r="C170" s="6">
        <f>Referencias!F134</f>
        <v>1.19</v>
      </c>
      <c r="D170" s="6">
        <f t="shared" si="11"/>
        <v>1.19</v>
      </c>
    </row>
    <row r="171" spans="1:7" ht="15">
      <c r="A171" s="12" t="str">
        <f>Referencias!B135</f>
        <v>Açucar União Sache 5g</v>
      </c>
      <c r="B171" s="13">
        <v>2</v>
      </c>
      <c r="C171" s="6">
        <f>Referencias!F135</f>
        <v>0.32</v>
      </c>
      <c r="D171" s="6">
        <f t="shared" si="11"/>
        <v>0.64</v>
      </c>
    </row>
    <row r="172" spans="1:7" ht="15">
      <c r="A172" s="12" t="str">
        <f>Referencias!B136</f>
        <v>Café Pelé Sache</v>
      </c>
      <c r="B172" s="13">
        <v>1</v>
      </c>
      <c r="C172" s="6">
        <f>Referencias!F136</f>
        <v>0.43</v>
      </c>
      <c r="D172" s="6">
        <f t="shared" si="11"/>
        <v>0.43</v>
      </c>
    </row>
    <row r="173" spans="1:7" ht="15">
      <c r="A173" s="12" t="str">
        <f>Referencias!B137</f>
        <v>Capuccino 3 Corações Sache</v>
      </c>
      <c r="B173" s="12">
        <v>1</v>
      </c>
      <c r="C173" s="6">
        <f>Referencias!F137</f>
        <v>1.99</v>
      </c>
      <c r="D173" s="6">
        <f t="shared" si="11"/>
        <v>1.99</v>
      </c>
    </row>
    <row r="174" spans="1:7" ht="15">
      <c r="A174" s="12" t="str">
        <f>Referencias!B138</f>
        <v>Geleia Blister 15g</v>
      </c>
      <c r="B174" s="13">
        <v>2</v>
      </c>
      <c r="C174" s="6">
        <f>Referencias!F138</f>
        <v>0.66</v>
      </c>
      <c r="D174" s="6">
        <f t="shared" si="11"/>
        <v>1.32</v>
      </c>
    </row>
    <row r="175" spans="1:7" ht="15">
      <c r="A175" s="12" t="str">
        <f>Referencias!B62</f>
        <v>Frete</v>
      </c>
      <c r="B175" s="12">
        <v>0</v>
      </c>
      <c r="C175" s="6">
        <f>Referencias!F62</f>
        <v>0</v>
      </c>
      <c r="D175" s="6">
        <f t="shared" si="11"/>
        <v>0</v>
      </c>
    </row>
    <row r="176" spans="1:7" ht="15">
      <c r="A176" s="12" t="str">
        <f>Referencias!B14</f>
        <v>Desgaste Bloquinho/Outros</v>
      </c>
      <c r="B176" s="12">
        <v>1</v>
      </c>
      <c r="C176" s="6">
        <f>Referencias!F14</f>
        <v>0.5</v>
      </c>
      <c r="D176" s="6">
        <f t="shared" si="11"/>
        <v>0.5</v>
      </c>
    </row>
    <row r="177" spans="1:7" ht="15">
      <c r="A177" s="12" t="str">
        <f>Referencias!B17</f>
        <v>Embalagem Padrão</v>
      </c>
      <c r="B177" s="13">
        <v>1</v>
      </c>
      <c r="C177" s="6">
        <f>Referencias!F17</f>
        <v>1.5</v>
      </c>
      <c r="D177" s="6">
        <f t="shared" si="11"/>
        <v>1.5</v>
      </c>
    </row>
    <row r="178" spans="1:7" ht="15">
      <c r="A178" s="2" t="s">
        <v>312</v>
      </c>
      <c r="B178" s="12"/>
      <c r="C178" s="6"/>
      <c r="D178" s="3">
        <f>SUM(D167:D177)</f>
        <v>20.500599999999999</v>
      </c>
    </row>
    <row r="179" spans="1:7" ht="15">
      <c r="A179" s="2" t="s">
        <v>313</v>
      </c>
      <c r="B179" s="15">
        <v>0.55000000000000004</v>
      </c>
      <c r="C179" s="6">
        <f>D178*B179</f>
        <v>11.27533</v>
      </c>
      <c r="D179" s="3">
        <f>D178+C179</f>
        <v>31.775929999999999</v>
      </c>
      <c r="E179" s="92"/>
      <c r="F179" s="93"/>
      <c r="G179" s="93"/>
    </row>
    <row r="180" spans="1:7" ht="15">
      <c r="A180" s="2" t="s">
        <v>314</v>
      </c>
      <c r="B180" s="12"/>
      <c r="C180" s="10"/>
      <c r="D180" s="10"/>
      <c r="E180" s="7"/>
      <c r="F180" s="7"/>
      <c r="G180" s="7"/>
    </row>
    <row r="181" spans="1:7" ht="15">
      <c r="A181" s="2" t="s">
        <v>315</v>
      </c>
      <c r="B181" s="12"/>
      <c r="C181" s="10"/>
      <c r="D181" s="11">
        <v>40</v>
      </c>
      <c r="E181" s="16"/>
      <c r="F181" s="16"/>
      <c r="G181" s="16"/>
    </row>
  </sheetData>
  <mergeCells count="24">
    <mergeCell ref="A1:C1"/>
    <mergeCell ref="E14:G14"/>
    <mergeCell ref="A18:C18"/>
    <mergeCell ref="E31:G31"/>
    <mergeCell ref="A35:C35"/>
    <mergeCell ref="E45:G45"/>
    <mergeCell ref="A49:C49"/>
    <mergeCell ref="E57:G57"/>
    <mergeCell ref="A61:C61"/>
    <mergeCell ref="E74:G74"/>
    <mergeCell ref="A78:C78"/>
    <mergeCell ref="E88:G88"/>
    <mergeCell ref="A93:C93"/>
    <mergeCell ref="A105:C105"/>
    <mergeCell ref="E162:G162"/>
    <mergeCell ref="A166:C166"/>
    <mergeCell ref="E179:G179"/>
    <mergeCell ref="E101:G101"/>
    <mergeCell ref="E113:G113"/>
    <mergeCell ref="A117:C117"/>
    <mergeCell ref="E128:G128"/>
    <mergeCell ref="A132:C132"/>
    <mergeCell ref="E145:G145"/>
    <mergeCell ref="A149:C149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9900"/>
    <outlinePr summaryBelow="0" summaryRight="0"/>
  </sheetPr>
  <dimension ref="A1:G164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7" ht="15">
      <c r="A1" s="89" t="s">
        <v>439</v>
      </c>
      <c r="B1" s="90"/>
      <c r="C1" s="91"/>
      <c r="D1" s="3">
        <v>69</v>
      </c>
    </row>
    <row r="2" spans="1:7" ht="15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4" si="0">B2*C2</f>
        <v>3</v>
      </c>
    </row>
    <row r="3" spans="1:7" ht="15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</row>
    <row r="4" spans="1:7" ht="15">
      <c r="A4" s="12" t="str">
        <f>Referencias!B31</f>
        <v>bopp</v>
      </c>
      <c r="B4" s="13">
        <f>0.3*2</f>
        <v>0.6</v>
      </c>
      <c r="C4" s="6">
        <f>Referencias!F31</f>
        <v>0.45</v>
      </c>
      <c r="D4" s="6">
        <f t="shared" si="0"/>
        <v>0.27</v>
      </c>
    </row>
    <row r="5" spans="1:7" ht="15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</row>
    <row r="6" spans="1:7" ht="15">
      <c r="A6" s="12" t="str">
        <f>Referencias!B40</f>
        <v>miolo 75gr A5</v>
      </c>
      <c r="B6" s="13">
        <v>198</v>
      </c>
      <c r="C6" s="6">
        <f>Referencias!F40</f>
        <v>0.03</v>
      </c>
      <c r="D6" s="6">
        <f t="shared" si="0"/>
        <v>5.9399999999999995</v>
      </c>
    </row>
    <row r="7" spans="1:7" ht="15">
      <c r="A7" s="12" t="str">
        <f>Referencias!B34</f>
        <v>Bolso  offset 180gr</v>
      </c>
      <c r="B7" s="13">
        <v>1</v>
      </c>
      <c r="C7" s="6">
        <f>Referencias!F34</f>
        <v>0.32</v>
      </c>
      <c r="D7" s="6">
        <f t="shared" si="0"/>
        <v>0.32</v>
      </c>
    </row>
    <row r="8" spans="1:7" ht="15">
      <c r="A8" s="12" t="str">
        <f>Referencias!B120</f>
        <v>Espiral 33mm plastico</v>
      </c>
      <c r="B8" s="13">
        <v>1</v>
      </c>
      <c r="C8" s="6">
        <f>Referencias!F120</f>
        <v>2.48</v>
      </c>
      <c r="D8" s="6">
        <f t="shared" si="0"/>
        <v>2.48</v>
      </c>
    </row>
    <row r="9" spans="1:7" ht="15">
      <c r="A9" s="12" t="str">
        <f>Referencias!B22</f>
        <v>Impressao Capa A4</v>
      </c>
      <c r="B9" s="13">
        <v>2</v>
      </c>
      <c r="C9" s="6">
        <f>Referencias!F22</f>
        <v>0.5</v>
      </c>
      <c r="D9" s="6">
        <f t="shared" si="0"/>
        <v>1</v>
      </c>
    </row>
    <row r="10" spans="1:7" ht="15">
      <c r="A10" s="12" t="str">
        <f>Referencias!B29</f>
        <v>Impressao Miolo Frente Verso A5</v>
      </c>
      <c r="B10" s="13">
        <v>205</v>
      </c>
      <c r="C10" s="6">
        <f>Referencias!F29</f>
        <v>0.06</v>
      </c>
      <c r="D10" s="6">
        <f t="shared" si="0"/>
        <v>12.299999999999999</v>
      </c>
    </row>
    <row r="11" spans="1:7" ht="15">
      <c r="A11" s="12" t="str">
        <f>Referencias!B21</f>
        <v>Impressao Bolso A4</v>
      </c>
      <c r="B11" s="13">
        <v>1</v>
      </c>
      <c r="C11" s="6">
        <f>Referencias!F21</f>
        <v>1</v>
      </c>
      <c r="D11" s="6">
        <f t="shared" si="0"/>
        <v>1</v>
      </c>
    </row>
    <row r="12" spans="1:7" ht="15">
      <c r="A12" s="12" t="str">
        <f>Referencias!B62</f>
        <v>Frete</v>
      </c>
      <c r="B12" s="12"/>
      <c r="C12" s="6">
        <f>Referencias!F62</f>
        <v>0</v>
      </c>
      <c r="D12" s="6">
        <f t="shared" si="0"/>
        <v>0</v>
      </c>
    </row>
    <row r="13" spans="1:7" ht="15">
      <c r="A13" s="12" t="str">
        <f>Referencias!B13</f>
        <v>Desgaste Agenda</v>
      </c>
      <c r="B13" s="13">
        <v>1</v>
      </c>
      <c r="C13" s="6">
        <f>Referencias!F13</f>
        <v>1</v>
      </c>
      <c r="D13" s="6">
        <f t="shared" si="0"/>
        <v>1</v>
      </c>
    </row>
    <row r="14" spans="1:7" ht="15">
      <c r="A14" s="12" t="str">
        <f>Referencias!B17</f>
        <v>Embalagem Padrão</v>
      </c>
      <c r="B14" s="13">
        <v>1</v>
      </c>
      <c r="C14" s="6">
        <f>Referencias!F17</f>
        <v>1.5</v>
      </c>
      <c r="D14" s="6">
        <f t="shared" si="0"/>
        <v>1.5</v>
      </c>
    </row>
    <row r="15" spans="1:7" ht="15">
      <c r="A15" s="2" t="s">
        <v>312</v>
      </c>
      <c r="B15" s="12"/>
      <c r="C15" s="10"/>
      <c r="D15" s="3">
        <f>SUM(D2:D14)</f>
        <v>31.909999999999997</v>
      </c>
    </row>
    <row r="16" spans="1:7" ht="15">
      <c r="A16" s="2" t="s">
        <v>313</v>
      </c>
      <c r="B16" s="15">
        <v>0.55000000000000004</v>
      </c>
      <c r="C16" s="6">
        <f>D15*B16</f>
        <v>17.5505</v>
      </c>
      <c r="D16" s="3">
        <f>D15+C16</f>
        <v>49.460499999999996</v>
      </c>
      <c r="E16" s="92"/>
      <c r="F16" s="93"/>
      <c r="G16" s="93"/>
    </row>
    <row r="17" spans="1:7" ht="15">
      <c r="A17" s="2" t="s">
        <v>314</v>
      </c>
      <c r="B17" s="40" t="s">
        <v>330</v>
      </c>
      <c r="C17" s="36" t="s">
        <v>331</v>
      </c>
      <c r="D17" s="10"/>
      <c r="E17" s="7"/>
      <c r="F17" s="7"/>
      <c r="G17" s="7"/>
    </row>
    <row r="18" spans="1:7" ht="15">
      <c r="A18" s="2" t="s">
        <v>315</v>
      </c>
      <c r="B18" s="37">
        <v>69</v>
      </c>
      <c r="C18" s="41">
        <v>69</v>
      </c>
      <c r="D18" s="3">
        <v>69</v>
      </c>
      <c r="E18" s="16"/>
      <c r="F18" s="16"/>
      <c r="G18" s="16"/>
    </row>
    <row r="20" spans="1:7" ht="15">
      <c r="A20" s="89" t="s">
        <v>440</v>
      </c>
      <c r="B20" s="90"/>
      <c r="C20" s="91"/>
      <c r="D20" s="3">
        <v>49</v>
      </c>
    </row>
    <row r="21" spans="1:7" ht="15">
      <c r="A21" s="12" t="str">
        <f>Referencias!B58</f>
        <v>Papelão 16x22</v>
      </c>
      <c r="B21" s="13">
        <v>2</v>
      </c>
      <c r="C21" s="6">
        <f>Referencias!F58</f>
        <v>1.5</v>
      </c>
      <c r="D21" s="6">
        <f t="shared" ref="D21:D33" si="1">B21*C21</f>
        <v>3</v>
      </c>
    </row>
    <row r="22" spans="1:7" ht="15">
      <c r="A22" s="12" t="str">
        <f>Referencias!B53</f>
        <v>Papel fotografico A4</v>
      </c>
      <c r="B22" s="13">
        <v>2</v>
      </c>
      <c r="C22" s="6">
        <f>Referencias!F53</f>
        <v>0.8</v>
      </c>
      <c r="D22" s="6">
        <f t="shared" si="1"/>
        <v>1.6</v>
      </c>
    </row>
    <row r="23" spans="1:7" ht="15">
      <c r="A23" s="12" t="str">
        <f>Referencias!B31</f>
        <v>bopp</v>
      </c>
      <c r="B23" s="13">
        <f>0.3*2</f>
        <v>0.6</v>
      </c>
      <c r="C23" s="6">
        <f>Referencias!F31</f>
        <v>0.45</v>
      </c>
      <c r="D23" s="6">
        <f t="shared" si="1"/>
        <v>0.27</v>
      </c>
    </row>
    <row r="24" spans="1:7" ht="15">
      <c r="A24" s="12" t="str">
        <f>Referencias!B48</f>
        <v>Papel guarda 15,5x21,5 offset adesivo</v>
      </c>
      <c r="B24" s="13">
        <v>2</v>
      </c>
      <c r="C24" s="6">
        <f>Referencias!F47</f>
        <v>0.75</v>
      </c>
      <c r="D24" s="6">
        <f t="shared" si="1"/>
        <v>1.5</v>
      </c>
    </row>
    <row r="25" spans="1:7" ht="15">
      <c r="A25" s="12" t="str">
        <f>Referencias!B45</f>
        <v>miolo 90gr A5</v>
      </c>
      <c r="B25" s="13">
        <v>109</v>
      </c>
      <c r="C25" s="6">
        <f>Referencias!F45</f>
        <v>0.05</v>
      </c>
      <c r="D25" s="6">
        <f t="shared" si="1"/>
        <v>5.45</v>
      </c>
    </row>
    <row r="26" spans="1:7" ht="15">
      <c r="A26" s="12" t="str">
        <f>Referencias!B34</f>
        <v>Bolso  offset 180gr</v>
      </c>
      <c r="B26" s="13">
        <v>1</v>
      </c>
      <c r="C26" s="6">
        <f>Referencias!F34</f>
        <v>0.32</v>
      </c>
      <c r="D26" s="6">
        <f t="shared" si="1"/>
        <v>0.32</v>
      </c>
    </row>
    <row r="27" spans="1:7" ht="15">
      <c r="A27" s="12" t="str">
        <f>Referencias!B19</f>
        <v>Espiral 29mm</v>
      </c>
      <c r="B27" s="13">
        <v>1</v>
      </c>
      <c r="C27" s="6">
        <f>Referencias!F19</f>
        <v>1.83</v>
      </c>
      <c r="D27" s="6">
        <f t="shared" si="1"/>
        <v>1.83</v>
      </c>
    </row>
    <row r="28" spans="1:7" ht="15">
      <c r="A28" s="12" t="str">
        <f>Referencias!B22</f>
        <v>Impressao Capa A4</v>
      </c>
      <c r="B28" s="13">
        <v>2</v>
      </c>
      <c r="C28" s="6">
        <f>Referencias!F22</f>
        <v>0.5</v>
      </c>
      <c r="D28" s="6">
        <f t="shared" si="1"/>
        <v>1</v>
      </c>
    </row>
    <row r="29" spans="1:7" ht="15">
      <c r="A29" s="12" t="str">
        <f>Referencias!B29</f>
        <v>Impressao Miolo Frente Verso A5</v>
      </c>
      <c r="B29" s="13">
        <v>115</v>
      </c>
      <c r="C29" s="6">
        <f>Referencias!F29</f>
        <v>0.06</v>
      </c>
      <c r="D29" s="6">
        <f t="shared" si="1"/>
        <v>6.8999999999999995</v>
      </c>
    </row>
    <row r="30" spans="1:7" ht="15">
      <c r="A30" s="12" t="str">
        <f>Referencias!B21</f>
        <v>Impressao Bolso A4</v>
      </c>
      <c r="B30" s="13">
        <v>1</v>
      </c>
      <c r="C30" s="6">
        <f>Referencias!F21</f>
        <v>1</v>
      </c>
      <c r="D30" s="6">
        <f t="shared" si="1"/>
        <v>1</v>
      </c>
    </row>
    <row r="31" spans="1:7" ht="15">
      <c r="A31" s="12" t="str">
        <f>Referencias!B62</f>
        <v>Frete</v>
      </c>
      <c r="B31" s="12"/>
      <c r="C31" s="6">
        <f>Referencias!F62</f>
        <v>0</v>
      </c>
      <c r="D31" s="6">
        <f t="shared" si="1"/>
        <v>0</v>
      </c>
    </row>
    <row r="32" spans="1:7" ht="15">
      <c r="A32" s="12" t="str">
        <f>Referencias!B13</f>
        <v>Desgaste Agenda</v>
      </c>
      <c r="B32" s="13">
        <v>1</v>
      </c>
      <c r="C32" s="6">
        <f>Referencias!F13</f>
        <v>1</v>
      </c>
      <c r="D32" s="6">
        <f t="shared" si="1"/>
        <v>1</v>
      </c>
    </row>
    <row r="33" spans="1:7" ht="15">
      <c r="A33" s="12" t="str">
        <f>Referencias!B17</f>
        <v>Embalagem Padrão</v>
      </c>
      <c r="B33" s="13">
        <v>1</v>
      </c>
      <c r="C33" s="6">
        <f>Referencias!F17</f>
        <v>1.5</v>
      </c>
      <c r="D33" s="6">
        <f t="shared" si="1"/>
        <v>1.5</v>
      </c>
    </row>
    <row r="34" spans="1:7" ht="15">
      <c r="A34" s="2" t="s">
        <v>312</v>
      </c>
      <c r="B34" s="12"/>
      <c r="C34" s="10"/>
      <c r="D34" s="3">
        <f>SUM(D21:D33)</f>
        <v>25.37</v>
      </c>
    </row>
    <row r="35" spans="1:7" ht="15">
      <c r="A35" s="2" t="s">
        <v>313</v>
      </c>
      <c r="B35" s="15">
        <v>0.55000000000000004</v>
      </c>
      <c r="C35" s="6">
        <f>D34*B35</f>
        <v>13.953500000000002</v>
      </c>
      <c r="D35" s="3">
        <f>D34+C35</f>
        <v>39.323500000000003</v>
      </c>
      <c r="E35" s="92"/>
      <c r="F35" s="93"/>
      <c r="G35" s="93"/>
    </row>
    <row r="36" spans="1:7" ht="15">
      <c r="A36" s="2" t="s">
        <v>314</v>
      </c>
      <c r="B36" s="40" t="s">
        <v>330</v>
      </c>
      <c r="C36" s="36" t="s">
        <v>331</v>
      </c>
      <c r="D36" s="10"/>
      <c r="E36" s="7"/>
      <c r="F36" s="7"/>
      <c r="G36" s="7"/>
    </row>
    <row r="37" spans="1:7" ht="15">
      <c r="A37" s="2" t="s">
        <v>315</v>
      </c>
      <c r="B37" s="37">
        <v>54.9</v>
      </c>
      <c r="C37" s="41">
        <v>54</v>
      </c>
      <c r="D37" s="3">
        <v>49</v>
      </c>
      <c r="E37" s="16"/>
      <c r="F37" s="16"/>
      <c r="G37" s="16"/>
    </row>
    <row r="39" spans="1:7" ht="15">
      <c r="A39" s="89" t="s">
        <v>441</v>
      </c>
      <c r="B39" s="90"/>
      <c r="C39" s="91"/>
      <c r="D39" s="3">
        <v>69</v>
      </c>
    </row>
    <row r="40" spans="1:7" ht="15">
      <c r="A40" s="12" t="str">
        <f>Referencias!B58</f>
        <v>Papelão 16x22</v>
      </c>
      <c r="B40" s="13">
        <v>2</v>
      </c>
      <c r="C40" s="6">
        <f>Referencias!F58</f>
        <v>1.5</v>
      </c>
      <c r="D40" s="6">
        <f t="shared" ref="D40:D52" si="2">B40*C40</f>
        <v>3</v>
      </c>
    </row>
    <row r="41" spans="1:7" ht="15">
      <c r="A41" s="12" t="str">
        <f>Referencias!B53</f>
        <v>Papel fotografico A4</v>
      </c>
      <c r="B41" s="13">
        <v>2</v>
      </c>
      <c r="C41" s="6">
        <f>Referencias!F53</f>
        <v>0.8</v>
      </c>
      <c r="D41" s="6">
        <f t="shared" si="2"/>
        <v>1.6</v>
      </c>
    </row>
    <row r="42" spans="1:7" ht="15">
      <c r="A42" s="12" t="str">
        <f>Referencias!B31</f>
        <v>bopp</v>
      </c>
      <c r="B42" s="13">
        <f>0.3*2</f>
        <v>0.6</v>
      </c>
      <c r="C42" s="6">
        <f>Referencias!F31</f>
        <v>0.45</v>
      </c>
      <c r="D42" s="6">
        <f t="shared" si="2"/>
        <v>0.27</v>
      </c>
    </row>
    <row r="43" spans="1:7" ht="15">
      <c r="A43" s="12" t="str">
        <f>Referencias!B48</f>
        <v>Papel guarda 15,5x21,5 offset adesivo</v>
      </c>
      <c r="B43" s="13">
        <v>2</v>
      </c>
      <c r="C43" s="6">
        <f>Referencias!F48</f>
        <v>0.75</v>
      </c>
      <c r="D43" s="6">
        <f t="shared" si="2"/>
        <v>1.5</v>
      </c>
    </row>
    <row r="44" spans="1:7" ht="15">
      <c r="A44" s="12" t="str">
        <f>Referencias!B40</f>
        <v>miolo 75gr A5</v>
      </c>
      <c r="B44" s="13">
        <v>204</v>
      </c>
      <c r="C44" s="6">
        <f>Referencias!F40</f>
        <v>0.03</v>
      </c>
      <c r="D44" s="6">
        <f t="shared" si="2"/>
        <v>6.12</v>
      </c>
    </row>
    <row r="45" spans="1:7" ht="15">
      <c r="A45" s="12" t="str">
        <f>Referencias!B34</f>
        <v>Bolso  offset 180gr</v>
      </c>
      <c r="B45" s="13">
        <v>1</v>
      </c>
      <c r="C45" s="6">
        <f>Referencias!F34</f>
        <v>0.32</v>
      </c>
      <c r="D45" s="6">
        <f t="shared" si="2"/>
        <v>0.32</v>
      </c>
    </row>
    <row r="46" spans="1:7" ht="15">
      <c r="A46" s="12" t="str">
        <f>Referencias!B120</f>
        <v>Espiral 33mm plastico</v>
      </c>
      <c r="B46" s="13">
        <v>1</v>
      </c>
      <c r="C46" s="6">
        <f>Referencias!F120</f>
        <v>2.48</v>
      </c>
      <c r="D46" s="6">
        <f t="shared" si="2"/>
        <v>2.48</v>
      </c>
    </row>
    <row r="47" spans="1:7" ht="15">
      <c r="A47" s="12" t="str">
        <f>Referencias!B22</f>
        <v>Impressao Capa A4</v>
      </c>
      <c r="B47" s="13">
        <v>2</v>
      </c>
      <c r="C47" s="6">
        <f>Referencias!F22</f>
        <v>0.5</v>
      </c>
      <c r="D47" s="6">
        <f t="shared" si="2"/>
        <v>1</v>
      </c>
    </row>
    <row r="48" spans="1:7" ht="15">
      <c r="A48" s="12" t="str">
        <f>Referencias!B29</f>
        <v>Impressao Miolo Frente Verso A5</v>
      </c>
      <c r="B48" s="13">
        <v>209</v>
      </c>
      <c r="C48" s="6">
        <f>Referencias!F29</f>
        <v>0.06</v>
      </c>
      <c r="D48" s="6">
        <f t="shared" si="2"/>
        <v>12.54</v>
      </c>
    </row>
    <row r="49" spans="1:7" ht="15">
      <c r="A49" s="12" t="str">
        <f>Referencias!B21</f>
        <v>Impressao Bolso A4</v>
      </c>
      <c r="B49" s="13">
        <v>1</v>
      </c>
      <c r="C49" s="6">
        <f>Referencias!F21</f>
        <v>1</v>
      </c>
      <c r="D49" s="6">
        <f t="shared" si="2"/>
        <v>1</v>
      </c>
    </row>
    <row r="50" spans="1:7" ht="15">
      <c r="A50" s="12" t="str">
        <f>Referencias!B62</f>
        <v>Frete</v>
      </c>
      <c r="B50" s="12"/>
      <c r="C50" s="6">
        <f>Referencias!F62</f>
        <v>0</v>
      </c>
      <c r="D50" s="6">
        <f t="shared" si="2"/>
        <v>0</v>
      </c>
    </row>
    <row r="51" spans="1:7" ht="15">
      <c r="A51" s="12" t="str">
        <f>Referencias!B13</f>
        <v>Desgaste Agenda</v>
      </c>
      <c r="B51" s="13">
        <v>1</v>
      </c>
      <c r="C51" s="6">
        <f>Referencias!F13</f>
        <v>1</v>
      </c>
      <c r="D51" s="6">
        <f t="shared" si="2"/>
        <v>1</v>
      </c>
    </row>
    <row r="52" spans="1:7" ht="15">
      <c r="A52" s="12" t="str">
        <f>Referencias!B17</f>
        <v>Embalagem Padrão</v>
      </c>
      <c r="B52" s="13">
        <v>1</v>
      </c>
      <c r="C52" s="6">
        <f>Referencias!F17</f>
        <v>1.5</v>
      </c>
      <c r="D52" s="6">
        <f t="shared" si="2"/>
        <v>1.5</v>
      </c>
    </row>
    <row r="53" spans="1:7" ht="15">
      <c r="A53" s="2" t="s">
        <v>312</v>
      </c>
      <c r="B53" s="12"/>
      <c r="C53" s="6"/>
      <c r="D53" s="3">
        <f>SUM(D40:D52)</f>
        <v>32.33</v>
      </c>
    </row>
    <row r="54" spans="1:7" ht="15">
      <c r="A54" s="2" t="s">
        <v>313</v>
      </c>
      <c r="B54" s="15">
        <v>0.55000000000000004</v>
      </c>
      <c r="C54" s="6">
        <f>D53*B54</f>
        <v>17.781500000000001</v>
      </c>
      <c r="D54" s="3">
        <f>D53+C54</f>
        <v>50.111499999999999</v>
      </c>
      <c r="E54" s="92"/>
      <c r="F54" s="93"/>
      <c r="G54" s="93"/>
    </row>
    <row r="55" spans="1:7" ht="15">
      <c r="A55" s="2" t="s">
        <v>314</v>
      </c>
      <c r="B55" s="40" t="s">
        <v>330</v>
      </c>
      <c r="C55" s="36"/>
      <c r="D55" s="10"/>
      <c r="E55" s="7"/>
      <c r="F55" s="7"/>
      <c r="G55" s="7"/>
    </row>
    <row r="56" spans="1:7" ht="15">
      <c r="A56" s="2" t="s">
        <v>315</v>
      </c>
      <c r="B56" s="37">
        <v>84.9</v>
      </c>
      <c r="C56" s="36"/>
      <c r="D56" s="3">
        <v>69</v>
      </c>
      <c r="E56" s="16"/>
      <c r="F56" s="16"/>
      <c r="G56" s="16"/>
    </row>
    <row r="58" spans="1:7" ht="15">
      <c r="A58" s="89" t="s">
        <v>442</v>
      </c>
      <c r="B58" s="90"/>
      <c r="C58" s="91"/>
      <c r="D58" s="3">
        <v>49</v>
      </c>
    </row>
    <row r="59" spans="1:7" ht="15">
      <c r="A59" s="12" t="str">
        <f>Referencias!B58</f>
        <v>Papelão 16x22</v>
      </c>
      <c r="B59" s="13">
        <v>2</v>
      </c>
      <c r="C59" s="6">
        <f>Referencias!F58</f>
        <v>1.5</v>
      </c>
      <c r="D59" s="6">
        <f t="shared" ref="D59:D71" si="3">B59*C59</f>
        <v>3</v>
      </c>
    </row>
    <row r="60" spans="1:7" ht="15">
      <c r="A60" s="12" t="str">
        <f>Referencias!B53</f>
        <v>Papel fotografico A4</v>
      </c>
      <c r="B60" s="13">
        <v>2</v>
      </c>
      <c r="C60" s="6">
        <f>Referencias!F53</f>
        <v>0.8</v>
      </c>
      <c r="D60" s="6">
        <f t="shared" si="3"/>
        <v>1.6</v>
      </c>
    </row>
    <row r="61" spans="1:7" ht="15">
      <c r="A61" s="12" t="str">
        <f>Referencias!B31</f>
        <v>bopp</v>
      </c>
      <c r="B61" s="13">
        <f>0.3*2</f>
        <v>0.6</v>
      </c>
      <c r="C61" s="6">
        <f>Referencias!F31</f>
        <v>0.45</v>
      </c>
      <c r="D61" s="6">
        <f t="shared" si="3"/>
        <v>0.27</v>
      </c>
    </row>
    <row r="62" spans="1:7" ht="15">
      <c r="A62" s="12" t="str">
        <f>Referencias!B48</f>
        <v>Papel guarda 15,5x21,5 offset adesivo</v>
      </c>
      <c r="B62" s="13">
        <v>2</v>
      </c>
      <c r="C62" s="6">
        <f>Referencias!F48</f>
        <v>0.75</v>
      </c>
      <c r="D62" s="6">
        <f t="shared" si="3"/>
        <v>1.5</v>
      </c>
    </row>
    <row r="63" spans="1:7" ht="15">
      <c r="A63" s="12" t="str">
        <f>Referencias!B45</f>
        <v>miolo 90gr A5</v>
      </c>
      <c r="B63" s="13">
        <v>115</v>
      </c>
      <c r="C63" s="6">
        <f>Referencias!F45</f>
        <v>0.05</v>
      </c>
      <c r="D63" s="6">
        <f t="shared" si="3"/>
        <v>5.75</v>
      </c>
    </row>
    <row r="64" spans="1:7" ht="15">
      <c r="A64" s="12" t="str">
        <f>Referencias!B34</f>
        <v>Bolso  offset 180gr</v>
      </c>
      <c r="B64" s="13">
        <v>1</v>
      </c>
      <c r="C64" s="6">
        <f>Referencias!F34</f>
        <v>0.32</v>
      </c>
      <c r="D64" s="6">
        <f t="shared" si="3"/>
        <v>0.32</v>
      </c>
    </row>
    <row r="65" spans="1:7" ht="15">
      <c r="A65" s="12" t="str">
        <f>Referencias!B19</f>
        <v>Espiral 29mm</v>
      </c>
      <c r="B65" s="13">
        <v>1</v>
      </c>
      <c r="C65" s="6">
        <f>Referencias!F19</f>
        <v>1.83</v>
      </c>
      <c r="D65" s="6">
        <f t="shared" si="3"/>
        <v>1.83</v>
      </c>
    </row>
    <row r="66" spans="1:7" ht="15">
      <c r="A66" s="12" t="str">
        <f>Referencias!B22</f>
        <v>Impressao Capa A4</v>
      </c>
      <c r="B66" s="13">
        <v>2</v>
      </c>
      <c r="C66" s="6">
        <f>Referencias!F22</f>
        <v>0.5</v>
      </c>
      <c r="D66" s="6">
        <f t="shared" si="3"/>
        <v>1</v>
      </c>
    </row>
    <row r="67" spans="1:7" ht="15">
      <c r="A67" s="12" t="str">
        <f>Referencias!B29</f>
        <v>Impressao Miolo Frente Verso A5</v>
      </c>
      <c r="B67" s="13">
        <v>115</v>
      </c>
      <c r="C67" s="6">
        <f>Referencias!F29</f>
        <v>0.06</v>
      </c>
      <c r="D67" s="6">
        <f t="shared" si="3"/>
        <v>6.8999999999999995</v>
      </c>
    </row>
    <row r="68" spans="1:7" ht="15">
      <c r="A68" s="12" t="str">
        <f>Referencias!B21</f>
        <v>Impressao Bolso A4</v>
      </c>
      <c r="B68" s="13">
        <v>1</v>
      </c>
      <c r="C68" s="6">
        <f>Referencias!F21</f>
        <v>1</v>
      </c>
      <c r="D68" s="6">
        <f t="shared" si="3"/>
        <v>1</v>
      </c>
    </row>
    <row r="69" spans="1:7" ht="15">
      <c r="A69" s="12" t="str">
        <f>Referencias!B62</f>
        <v>Frete</v>
      </c>
      <c r="B69" s="12">
        <v>0</v>
      </c>
      <c r="C69" s="6">
        <f>Referencias!F62</f>
        <v>0</v>
      </c>
      <c r="D69" s="6">
        <f t="shared" si="3"/>
        <v>0</v>
      </c>
    </row>
    <row r="70" spans="1:7" ht="15">
      <c r="A70" s="12" t="str">
        <f>Referencias!B13</f>
        <v>Desgaste Agenda</v>
      </c>
      <c r="B70" s="13">
        <v>1</v>
      </c>
      <c r="C70" s="6">
        <f>Referencias!F13</f>
        <v>1</v>
      </c>
      <c r="D70" s="6">
        <f t="shared" si="3"/>
        <v>1</v>
      </c>
    </row>
    <row r="71" spans="1:7" ht="15">
      <c r="A71" s="12" t="str">
        <f>Referencias!B17</f>
        <v>Embalagem Padrão</v>
      </c>
      <c r="B71" s="13">
        <v>1</v>
      </c>
      <c r="C71" s="6">
        <f>Referencias!F17</f>
        <v>1.5</v>
      </c>
      <c r="D71" s="6">
        <f t="shared" si="3"/>
        <v>1.5</v>
      </c>
    </row>
    <row r="72" spans="1:7" ht="15">
      <c r="A72" s="2" t="s">
        <v>312</v>
      </c>
      <c r="B72" s="12"/>
      <c r="C72" s="10"/>
      <c r="D72" s="3">
        <f>SUM(D59:D71)</f>
        <v>25.669999999999998</v>
      </c>
    </row>
    <row r="73" spans="1:7" ht="15" customHeight="1">
      <c r="A73" s="2" t="s">
        <v>313</v>
      </c>
      <c r="B73" s="15">
        <v>0.55000000000000004</v>
      </c>
      <c r="C73" s="6">
        <f>D72*B73</f>
        <v>14.118500000000001</v>
      </c>
      <c r="D73" s="3">
        <f>D72+C73</f>
        <v>39.788499999999999</v>
      </c>
      <c r="E73" s="92"/>
      <c r="F73" s="93"/>
      <c r="G73" s="93"/>
    </row>
    <row r="74" spans="1:7" ht="15">
      <c r="A74" s="2" t="s">
        <v>314</v>
      </c>
      <c r="B74" s="40" t="s">
        <v>330</v>
      </c>
      <c r="C74" s="36" t="s">
        <v>331</v>
      </c>
      <c r="D74" s="10"/>
      <c r="E74" s="7"/>
      <c r="F74" s="7"/>
      <c r="G74" s="7"/>
    </row>
    <row r="75" spans="1:7" ht="15">
      <c r="A75" s="2" t="s">
        <v>315</v>
      </c>
      <c r="B75" s="37">
        <v>54.9</v>
      </c>
      <c r="C75" s="41">
        <v>54</v>
      </c>
      <c r="D75" s="3">
        <v>49</v>
      </c>
      <c r="E75" s="16"/>
      <c r="F75" s="16"/>
      <c r="G75" s="16"/>
    </row>
    <row r="78" spans="1:7" ht="15">
      <c r="A78" s="89" t="s">
        <v>406</v>
      </c>
      <c r="B78" s="90"/>
      <c r="C78" s="91"/>
      <c r="D78" s="3">
        <v>15</v>
      </c>
    </row>
    <row r="79" spans="1:7" ht="15">
      <c r="A79" s="12" t="str">
        <f>Referencias!B37</f>
        <v>miolo 180gr A4</v>
      </c>
      <c r="B79" s="13">
        <v>6</v>
      </c>
      <c r="C79" s="6">
        <f>Referencias!F37</f>
        <v>0.32</v>
      </c>
      <c r="D79" s="6">
        <f t="shared" ref="D79:D83" si="4">B79*C79</f>
        <v>1.92</v>
      </c>
    </row>
    <row r="80" spans="1:7" ht="15">
      <c r="A80" s="12" t="str">
        <f>Referencias!B22</f>
        <v>Impressao Capa A4</v>
      </c>
      <c r="B80" s="13">
        <v>6</v>
      </c>
      <c r="C80" s="6">
        <f>Referencias!F22</f>
        <v>0.5</v>
      </c>
      <c r="D80" s="6">
        <f t="shared" si="4"/>
        <v>3</v>
      </c>
    </row>
    <row r="81" spans="1:7" ht="15">
      <c r="A81" s="12" t="str">
        <f>Referencias!B62</f>
        <v>Frete</v>
      </c>
      <c r="B81" s="12"/>
      <c r="C81" s="6">
        <f>Referencias!F62</f>
        <v>0</v>
      </c>
      <c r="D81" s="6">
        <f t="shared" si="4"/>
        <v>0</v>
      </c>
    </row>
    <row r="82" spans="1:7" ht="15">
      <c r="A82" s="12" t="str">
        <f>Referencias!B14</f>
        <v>Desgaste Bloquinho/Outros</v>
      </c>
      <c r="B82" s="13">
        <v>1</v>
      </c>
      <c r="C82" s="6">
        <f>Referencias!F14</f>
        <v>0.5</v>
      </c>
      <c r="D82" s="6">
        <f t="shared" si="4"/>
        <v>0.5</v>
      </c>
    </row>
    <row r="83" spans="1:7" ht="15">
      <c r="A83" s="12" t="str">
        <f>Referencias!B17</f>
        <v>Embalagem Padrão</v>
      </c>
      <c r="B83" s="13">
        <v>1</v>
      </c>
      <c r="C83" s="6">
        <f>Referencias!F17</f>
        <v>1.5</v>
      </c>
      <c r="D83" s="6">
        <f t="shared" si="4"/>
        <v>1.5</v>
      </c>
    </row>
    <row r="84" spans="1:7" ht="15">
      <c r="A84" s="2" t="s">
        <v>312</v>
      </c>
      <c r="B84" s="12"/>
      <c r="C84" s="10"/>
      <c r="D84" s="3">
        <f>SUM(D79:D83)</f>
        <v>6.92</v>
      </c>
      <c r="E84" s="92"/>
      <c r="F84" s="93"/>
      <c r="G84" s="93"/>
    </row>
    <row r="85" spans="1:7" ht="15">
      <c r="A85" s="2" t="s">
        <v>313</v>
      </c>
      <c r="B85" s="15">
        <v>0.55000000000000004</v>
      </c>
      <c r="C85" s="6">
        <f>D84*B85</f>
        <v>3.806</v>
      </c>
      <c r="D85" s="3">
        <f>D84+C85</f>
        <v>10.725999999999999</v>
      </c>
      <c r="E85" s="7"/>
      <c r="F85" s="7"/>
      <c r="G85" s="7"/>
    </row>
    <row r="86" spans="1:7" ht="15">
      <c r="A86" s="2" t="s">
        <v>314</v>
      </c>
      <c r="B86" s="40"/>
      <c r="C86" s="36"/>
      <c r="D86" s="10"/>
      <c r="E86" s="16"/>
      <c r="F86" s="16"/>
      <c r="G86" s="16"/>
    </row>
    <row r="87" spans="1:7" ht="15">
      <c r="A87" s="2" t="s">
        <v>315</v>
      </c>
      <c r="B87" s="37"/>
      <c r="C87" s="41"/>
      <c r="D87" s="3">
        <v>20</v>
      </c>
      <c r="E87" s="39"/>
      <c r="F87" s="39"/>
      <c r="G87" s="39"/>
    </row>
    <row r="89" spans="1:7" ht="15">
      <c r="A89" s="89" t="s">
        <v>411</v>
      </c>
      <c r="B89" s="90"/>
      <c r="C89" s="91"/>
      <c r="D89" s="11">
        <v>15</v>
      </c>
    </row>
    <row r="90" spans="1:7" ht="15">
      <c r="A90" s="12" t="str">
        <f>Referencias!B38</f>
        <v>Papel 240g A4</v>
      </c>
      <c r="B90" s="13">
        <v>6</v>
      </c>
      <c r="C90" s="6">
        <f>Referencias!F38</f>
        <v>0.42</v>
      </c>
      <c r="D90" s="6">
        <f t="shared" ref="D90:D95" si="5">B90*C90</f>
        <v>2.52</v>
      </c>
    </row>
    <row r="91" spans="1:7" ht="15">
      <c r="A91" s="12" t="str">
        <f>Referencias!B9</f>
        <v>Fita cetim</v>
      </c>
      <c r="B91" s="13">
        <v>0.6</v>
      </c>
      <c r="C91" s="6">
        <f>Referencias!F9</f>
        <v>0.13</v>
      </c>
      <c r="D91" s="6">
        <f t="shared" si="5"/>
        <v>7.8E-2</v>
      </c>
    </row>
    <row r="92" spans="1:7" ht="15">
      <c r="A92" s="12" t="str">
        <f>Referencias!B22</f>
        <v>Impressao Capa A4</v>
      </c>
      <c r="B92" s="13">
        <v>8</v>
      </c>
      <c r="C92" s="6">
        <f>Referencias!F22</f>
        <v>0.5</v>
      </c>
      <c r="D92" s="6">
        <f t="shared" si="5"/>
        <v>4</v>
      </c>
    </row>
    <row r="93" spans="1:7" ht="15">
      <c r="A93" s="12" t="str">
        <f>Referencias!B62</f>
        <v>Frete</v>
      </c>
      <c r="B93" s="12"/>
      <c r="C93" s="6">
        <f>Referencias!F62</f>
        <v>0</v>
      </c>
      <c r="D93" s="6">
        <f t="shared" si="5"/>
        <v>0</v>
      </c>
    </row>
    <row r="94" spans="1:7" ht="15">
      <c r="A94" s="12" t="str">
        <f>Referencias!B14</f>
        <v>Desgaste Bloquinho/Outros</v>
      </c>
      <c r="B94" s="13">
        <v>1</v>
      </c>
      <c r="C94" s="6">
        <f>Referencias!F14</f>
        <v>0.5</v>
      </c>
      <c r="D94" s="6">
        <f t="shared" si="5"/>
        <v>0.5</v>
      </c>
    </row>
    <row r="95" spans="1:7" ht="15">
      <c r="A95" s="12" t="str">
        <f>Referencias!B17</f>
        <v>Embalagem Padrão</v>
      </c>
      <c r="B95" s="13">
        <v>1</v>
      </c>
      <c r="C95" s="6">
        <f>Referencias!F17</f>
        <v>1.5</v>
      </c>
      <c r="D95" s="6">
        <f t="shared" si="5"/>
        <v>1.5</v>
      </c>
    </row>
    <row r="96" spans="1:7" ht="15">
      <c r="A96" s="2" t="s">
        <v>312</v>
      </c>
      <c r="B96" s="12"/>
      <c r="C96" s="10"/>
      <c r="D96" s="3">
        <f>SUM(D90:D95)</f>
        <v>8.597999999999999</v>
      </c>
    </row>
    <row r="97" spans="1:7" ht="15">
      <c r="A97" s="2" t="s">
        <v>313</v>
      </c>
      <c r="B97" s="15">
        <v>0.55000000000000004</v>
      </c>
      <c r="C97" s="6">
        <f>D96*B97</f>
        <v>4.7288999999999994</v>
      </c>
      <c r="D97" s="3">
        <f>D96+C97</f>
        <v>13.326899999999998</v>
      </c>
      <c r="E97" s="92"/>
      <c r="F97" s="93"/>
      <c r="G97" s="93"/>
    </row>
    <row r="98" spans="1:7" ht="15">
      <c r="A98" s="2" t="s">
        <v>314</v>
      </c>
      <c r="B98" s="40"/>
      <c r="C98" s="36"/>
      <c r="D98" s="10"/>
      <c r="E98" s="7"/>
      <c r="F98" s="7"/>
      <c r="G98" s="7"/>
    </row>
    <row r="99" spans="1:7" ht="15">
      <c r="A99" s="2" t="s">
        <v>315</v>
      </c>
      <c r="B99" s="37"/>
      <c r="C99" s="36"/>
      <c r="D99" s="11">
        <v>15</v>
      </c>
      <c r="E99" s="16"/>
      <c r="F99" s="16"/>
      <c r="G99" s="16"/>
    </row>
    <row r="101" spans="1:7" ht="15">
      <c r="A101" s="89" t="s">
        <v>393</v>
      </c>
      <c r="B101" s="90"/>
      <c r="C101" s="91"/>
      <c r="D101" s="11">
        <v>6</v>
      </c>
    </row>
    <row r="102" spans="1:7" ht="15">
      <c r="A102" s="12" t="str">
        <f>Referencias!B84</f>
        <v>Papel 180gr A4</v>
      </c>
      <c r="B102" s="13">
        <v>2</v>
      </c>
      <c r="C102" s="6">
        <f>Referencias!F84</f>
        <v>0.32</v>
      </c>
      <c r="D102" s="6">
        <f t="shared" ref="D102:D107" si="6">B102*C102</f>
        <v>0.64</v>
      </c>
    </row>
    <row r="103" spans="1:7" ht="15">
      <c r="A103" s="12" t="str">
        <f>Referencias!B85</f>
        <v>Alça - Fio Nautico circulo branco</v>
      </c>
      <c r="B103" s="13">
        <v>0.52</v>
      </c>
      <c r="C103" s="6">
        <f>Referencias!F85</f>
        <v>0.14000000000000001</v>
      </c>
      <c r="D103" s="6">
        <f t="shared" si="6"/>
        <v>7.2800000000000004E-2</v>
      </c>
    </row>
    <row r="104" spans="1:7" ht="15">
      <c r="A104" s="12" t="str">
        <f>Referencias!B83</f>
        <v>Impressão A4</v>
      </c>
      <c r="B104" s="13">
        <v>2</v>
      </c>
      <c r="C104" s="6">
        <f>Referencias!F83</f>
        <v>0.5</v>
      </c>
      <c r="D104" s="6">
        <f t="shared" si="6"/>
        <v>1</v>
      </c>
    </row>
    <row r="105" spans="1:7" ht="15">
      <c r="A105" s="12" t="str">
        <f>Referencias!B62</f>
        <v>Frete</v>
      </c>
      <c r="B105" s="12"/>
      <c r="C105" s="6">
        <f>Referencias!F62</f>
        <v>0</v>
      </c>
      <c r="D105" s="6">
        <f t="shared" si="6"/>
        <v>0</v>
      </c>
    </row>
    <row r="106" spans="1:7" ht="15">
      <c r="A106" s="12" t="str">
        <f>Referencias!B14</f>
        <v>Desgaste Bloquinho/Outros</v>
      </c>
      <c r="B106" s="13">
        <v>1</v>
      </c>
      <c r="C106" s="6">
        <f>Referencias!F14</f>
        <v>0.5</v>
      </c>
      <c r="D106" s="6">
        <f t="shared" si="6"/>
        <v>0.5</v>
      </c>
    </row>
    <row r="107" spans="1:7" ht="15">
      <c r="A107" s="12" t="str">
        <f>Referencias!B17</f>
        <v>Embalagem Padrão</v>
      </c>
      <c r="B107" s="13">
        <v>1</v>
      </c>
      <c r="C107" s="6">
        <f>Referencias!F17</f>
        <v>1.5</v>
      </c>
      <c r="D107" s="6">
        <f t="shared" si="6"/>
        <v>1.5</v>
      </c>
    </row>
    <row r="108" spans="1:7" ht="15">
      <c r="A108" s="2" t="s">
        <v>312</v>
      </c>
      <c r="B108" s="12"/>
      <c r="C108" s="10"/>
      <c r="D108" s="3">
        <f>SUM(D102:D107)</f>
        <v>3.7128000000000001</v>
      </c>
    </row>
    <row r="109" spans="1:7" ht="15">
      <c r="A109" s="2" t="s">
        <v>313</v>
      </c>
      <c r="B109" s="15">
        <v>0.55000000000000004</v>
      </c>
      <c r="C109" s="6">
        <f>D108*B109</f>
        <v>2.0420400000000001</v>
      </c>
      <c r="D109" s="3">
        <f>D108+C109</f>
        <v>5.7548399999999997</v>
      </c>
      <c r="E109" s="92"/>
      <c r="F109" s="93"/>
      <c r="G109" s="93"/>
    </row>
    <row r="110" spans="1:7" ht="15">
      <c r="A110" s="2" t="s">
        <v>314</v>
      </c>
      <c r="B110" s="40"/>
      <c r="C110" s="36"/>
      <c r="D110" s="10"/>
      <c r="E110" s="7"/>
      <c r="F110" s="7"/>
      <c r="G110" s="7"/>
    </row>
    <row r="111" spans="1:7" ht="15">
      <c r="A111" s="2" t="s">
        <v>315</v>
      </c>
      <c r="B111" s="37"/>
      <c r="C111" s="41"/>
      <c r="D111" s="11">
        <v>6</v>
      </c>
      <c r="E111" s="16"/>
      <c r="F111" s="16"/>
      <c r="G111" s="16"/>
    </row>
    <row r="113" spans="1:7" ht="15">
      <c r="A113" s="89" t="s">
        <v>407</v>
      </c>
      <c r="B113" s="90"/>
      <c r="C113" s="91"/>
      <c r="D113" s="11">
        <v>7.5</v>
      </c>
    </row>
    <row r="114" spans="1:7" ht="15">
      <c r="A114" s="12" t="str">
        <f>Referencias!B84</f>
        <v>Papel 180gr A4</v>
      </c>
      <c r="B114" s="13">
        <v>3</v>
      </c>
      <c r="C114" s="6">
        <f>Referencias!F84</f>
        <v>0.32</v>
      </c>
      <c r="D114" s="6">
        <f t="shared" ref="D114:D119" si="7">B114*C114</f>
        <v>0.96</v>
      </c>
    </row>
    <row r="115" spans="1:7" ht="15">
      <c r="A115" s="12" t="str">
        <f>Referencias!B85</f>
        <v>Alça - Fio Nautico circulo branco</v>
      </c>
      <c r="B115" s="13">
        <v>0.64</v>
      </c>
      <c r="C115" s="6">
        <f>Referencias!F85</f>
        <v>0.14000000000000001</v>
      </c>
      <c r="D115" s="6">
        <f t="shared" si="7"/>
        <v>8.9600000000000013E-2</v>
      </c>
    </row>
    <row r="116" spans="1:7" ht="15">
      <c r="A116" s="12" t="str">
        <f>Referencias!B83</f>
        <v>Impressão A4</v>
      </c>
      <c r="B116" s="13">
        <v>3</v>
      </c>
      <c r="C116" s="6">
        <f>Referencias!F83</f>
        <v>0.5</v>
      </c>
      <c r="D116" s="6">
        <f t="shared" si="7"/>
        <v>1.5</v>
      </c>
    </row>
    <row r="117" spans="1:7" ht="15">
      <c r="A117" s="12" t="str">
        <f>Referencias!B62</f>
        <v>Frete</v>
      </c>
      <c r="B117" s="13">
        <v>0</v>
      </c>
      <c r="C117" s="6">
        <f>Referencias!F62</f>
        <v>0</v>
      </c>
      <c r="D117" s="6">
        <f t="shared" si="7"/>
        <v>0</v>
      </c>
    </row>
    <row r="118" spans="1:7" ht="15">
      <c r="A118" s="12" t="str">
        <f>Referencias!B14</f>
        <v>Desgaste Bloquinho/Outros</v>
      </c>
      <c r="B118" s="12">
        <v>1</v>
      </c>
      <c r="C118" s="6">
        <f>Referencias!F14</f>
        <v>0.5</v>
      </c>
      <c r="D118" s="6">
        <f t="shared" si="7"/>
        <v>0.5</v>
      </c>
    </row>
    <row r="119" spans="1:7" ht="15">
      <c r="A119" s="12" t="str">
        <f>Referencias!B17</f>
        <v>Embalagem Padrão</v>
      </c>
      <c r="B119" s="13">
        <v>1</v>
      </c>
      <c r="C119" s="6">
        <f>Referencias!F17</f>
        <v>1.5</v>
      </c>
      <c r="D119" s="6">
        <f t="shared" si="7"/>
        <v>1.5</v>
      </c>
    </row>
    <row r="120" spans="1:7" ht="15">
      <c r="A120" s="2" t="s">
        <v>312</v>
      </c>
      <c r="B120" s="12"/>
      <c r="C120" s="6"/>
      <c r="D120" s="3">
        <f>SUM(D114:D119)</f>
        <v>4.5495999999999999</v>
      </c>
    </row>
    <row r="121" spans="1:7" ht="15">
      <c r="A121" s="2" t="s">
        <v>313</v>
      </c>
      <c r="B121" s="15">
        <v>0.55000000000000004</v>
      </c>
      <c r="C121" s="6">
        <f>D120*B121</f>
        <v>2.5022800000000003</v>
      </c>
      <c r="D121" s="3">
        <f>D120+C121</f>
        <v>7.0518800000000006</v>
      </c>
      <c r="E121" s="92"/>
      <c r="F121" s="93"/>
      <c r="G121" s="93"/>
    </row>
    <row r="122" spans="1:7" ht="15">
      <c r="A122" s="2" t="s">
        <v>314</v>
      </c>
      <c r="B122" s="12"/>
      <c r="C122" s="10"/>
      <c r="D122" s="10"/>
      <c r="E122" s="7"/>
      <c r="F122" s="7"/>
      <c r="G122" s="7"/>
    </row>
    <row r="123" spans="1:7" ht="15">
      <c r="A123" s="2" t="s">
        <v>315</v>
      </c>
      <c r="B123" s="12"/>
      <c r="C123" s="10"/>
      <c r="D123" s="11">
        <v>7.5</v>
      </c>
      <c r="E123" s="16"/>
      <c r="F123" s="16"/>
      <c r="G123" s="16"/>
    </row>
    <row r="125" spans="1:7" ht="15">
      <c r="A125" s="89" t="s">
        <v>443</v>
      </c>
      <c r="B125" s="90"/>
      <c r="C125" s="91"/>
      <c r="D125" s="11">
        <v>7.5</v>
      </c>
    </row>
    <row r="126" spans="1:7" ht="15">
      <c r="A126" s="12" t="str">
        <f>Referencias!B42</f>
        <v>Sulfite 75g A5</v>
      </c>
      <c r="B126" s="13">
        <v>1</v>
      </c>
      <c r="C126" s="6">
        <f>Referencias!F42</f>
        <v>0.03</v>
      </c>
      <c r="D126" s="6">
        <f t="shared" ref="D126:D131" si="8">B126*C126</f>
        <v>0.03</v>
      </c>
    </row>
    <row r="127" spans="1:7" ht="15">
      <c r="A127" s="12" t="str">
        <f>Referencias!B114</f>
        <v>Sonho de Valsa 15g</v>
      </c>
      <c r="B127" s="13">
        <v>2</v>
      </c>
      <c r="C127" s="6">
        <f>Referencias!F114</f>
        <v>1.17</v>
      </c>
      <c r="D127" s="6">
        <f t="shared" si="8"/>
        <v>2.34</v>
      </c>
    </row>
    <row r="128" spans="1:7" ht="15">
      <c r="A128" s="12" t="str">
        <f>Referencias!B23</f>
        <v>Impressao Capa A5</v>
      </c>
      <c r="B128" s="13">
        <v>1</v>
      </c>
      <c r="C128" s="6">
        <f>Referencias!F23</f>
        <v>0.25</v>
      </c>
      <c r="D128" s="6">
        <f t="shared" si="8"/>
        <v>0.25</v>
      </c>
    </row>
    <row r="129" spans="1:7" ht="15">
      <c r="A129" s="12" t="str">
        <f>Referencias!B62</f>
        <v>Frete</v>
      </c>
      <c r="B129" s="12"/>
      <c r="C129" s="6">
        <f>Referencias!F62</f>
        <v>0</v>
      </c>
      <c r="D129" s="6">
        <f t="shared" si="8"/>
        <v>0</v>
      </c>
    </row>
    <row r="130" spans="1:7" ht="15">
      <c r="A130" s="12" t="str">
        <f>Referencias!B14</f>
        <v>Desgaste Bloquinho/Outros</v>
      </c>
      <c r="B130" s="13">
        <v>1</v>
      </c>
      <c r="C130" s="6">
        <f>Referencias!F14</f>
        <v>0.5</v>
      </c>
      <c r="D130" s="6">
        <f t="shared" si="8"/>
        <v>0.5</v>
      </c>
    </row>
    <row r="131" spans="1:7" ht="15">
      <c r="A131" s="12" t="str">
        <f>Referencias!B17</f>
        <v>Embalagem Padrão</v>
      </c>
      <c r="B131" s="13">
        <v>1</v>
      </c>
      <c r="C131" s="6">
        <f>Referencias!F17</f>
        <v>1.5</v>
      </c>
      <c r="D131" s="6">
        <f t="shared" si="8"/>
        <v>1.5</v>
      </c>
    </row>
    <row r="132" spans="1:7" ht="15">
      <c r="A132" s="2" t="s">
        <v>312</v>
      </c>
      <c r="B132" s="12"/>
      <c r="C132" s="6"/>
      <c r="D132" s="3">
        <f>SUM(D126:D131)</f>
        <v>4.6199999999999992</v>
      </c>
    </row>
    <row r="133" spans="1:7" ht="15">
      <c r="A133" s="2" t="s">
        <v>313</v>
      </c>
      <c r="B133" s="15">
        <v>0.55000000000000004</v>
      </c>
      <c r="C133" s="6">
        <f>D132*B133</f>
        <v>2.5409999999999999</v>
      </c>
      <c r="D133" s="3">
        <f>D132+C133</f>
        <v>7.1609999999999996</v>
      </c>
      <c r="E133" s="92"/>
      <c r="F133" s="93"/>
      <c r="G133" s="93"/>
    </row>
    <row r="134" spans="1:7" ht="15">
      <c r="A134" s="2" t="s">
        <v>314</v>
      </c>
      <c r="B134" s="12"/>
      <c r="C134" s="10"/>
      <c r="D134" s="10"/>
      <c r="E134" s="7"/>
      <c r="F134" s="7"/>
      <c r="G134" s="7"/>
    </row>
    <row r="135" spans="1:7" ht="15">
      <c r="A135" s="2" t="s">
        <v>315</v>
      </c>
      <c r="B135" s="12"/>
      <c r="C135" s="10"/>
      <c r="D135" s="11">
        <v>7.5</v>
      </c>
      <c r="E135" s="16"/>
      <c r="F135" s="16"/>
      <c r="G135" s="16"/>
    </row>
    <row r="137" spans="1:7" ht="15">
      <c r="A137" s="89" t="s">
        <v>444</v>
      </c>
      <c r="B137" s="90"/>
      <c r="C137" s="91"/>
      <c r="D137" s="11">
        <v>12.5</v>
      </c>
    </row>
    <row r="138" spans="1:7" ht="15">
      <c r="A138" s="12" t="str">
        <f>Referencias!B41</f>
        <v>Sulfite 75g A4</v>
      </c>
      <c r="B138" s="13">
        <v>1</v>
      </c>
      <c r="C138" s="6">
        <f>Referencias!F41</f>
        <v>0.06</v>
      </c>
      <c r="D138" s="6">
        <f t="shared" ref="D138:D143" si="9">B138*C138</f>
        <v>0.06</v>
      </c>
    </row>
    <row r="139" spans="1:7" ht="15">
      <c r="A139" s="12" t="str">
        <f>Referencias!B114</f>
        <v>Sonho de Valsa 15g</v>
      </c>
      <c r="B139" s="13">
        <v>4</v>
      </c>
      <c r="C139" s="6">
        <f>Referencias!F114</f>
        <v>1.17</v>
      </c>
      <c r="D139" s="6">
        <f t="shared" si="9"/>
        <v>4.68</v>
      </c>
    </row>
    <row r="140" spans="1:7" ht="15">
      <c r="A140" s="12" t="str">
        <f>Referencias!B22</f>
        <v>Impressao Capa A4</v>
      </c>
      <c r="B140" s="13">
        <v>1</v>
      </c>
      <c r="C140" s="6">
        <f>Referencias!F22</f>
        <v>0.5</v>
      </c>
      <c r="D140" s="6">
        <f t="shared" si="9"/>
        <v>0.5</v>
      </c>
    </row>
    <row r="141" spans="1:7" ht="15">
      <c r="A141" s="12" t="str">
        <f>Referencias!B62</f>
        <v>Frete</v>
      </c>
      <c r="B141" s="12"/>
      <c r="C141" s="6">
        <f>Referencias!F62</f>
        <v>0</v>
      </c>
      <c r="D141" s="6">
        <f t="shared" si="9"/>
        <v>0</v>
      </c>
    </row>
    <row r="142" spans="1:7" ht="15">
      <c r="A142" s="12" t="str">
        <f>Referencias!B14</f>
        <v>Desgaste Bloquinho/Outros</v>
      </c>
      <c r="B142" s="13">
        <v>1</v>
      </c>
      <c r="C142" s="6">
        <f>Referencias!F14</f>
        <v>0.5</v>
      </c>
      <c r="D142" s="6">
        <f t="shared" si="9"/>
        <v>0.5</v>
      </c>
    </row>
    <row r="143" spans="1:7" ht="15">
      <c r="A143" s="12" t="str">
        <f>Referencias!B17</f>
        <v>Embalagem Padrão</v>
      </c>
      <c r="B143" s="13">
        <v>1</v>
      </c>
      <c r="C143" s="6">
        <f>Referencias!F17</f>
        <v>1.5</v>
      </c>
      <c r="D143" s="6">
        <f t="shared" si="9"/>
        <v>1.5</v>
      </c>
    </row>
    <row r="144" spans="1:7" ht="15">
      <c r="A144" s="2" t="s">
        <v>312</v>
      </c>
      <c r="B144" s="12"/>
      <c r="C144" s="6"/>
      <c r="D144" s="3">
        <f>SUM(D138:D143)</f>
        <v>7.2399999999999993</v>
      </c>
    </row>
    <row r="145" spans="1:7" ht="15">
      <c r="A145" s="2" t="s">
        <v>313</v>
      </c>
      <c r="B145" s="15">
        <v>0.55000000000000004</v>
      </c>
      <c r="C145" s="6">
        <f>D144*B145</f>
        <v>3.9819999999999998</v>
      </c>
      <c r="D145" s="3">
        <f>D144+C145</f>
        <v>11.222</v>
      </c>
      <c r="E145" s="92"/>
      <c r="F145" s="93"/>
      <c r="G145" s="93"/>
    </row>
    <row r="146" spans="1:7" ht="15">
      <c r="A146" s="2" t="s">
        <v>314</v>
      </c>
      <c r="B146" s="12"/>
      <c r="C146" s="10"/>
      <c r="D146" s="10"/>
      <c r="E146" s="7"/>
      <c r="F146" s="7"/>
      <c r="G146" s="7"/>
    </row>
    <row r="147" spans="1:7" ht="15">
      <c r="A147" s="2" t="s">
        <v>315</v>
      </c>
      <c r="B147" s="12"/>
      <c r="C147" s="10"/>
      <c r="D147" s="11">
        <v>15</v>
      </c>
      <c r="E147" s="16"/>
      <c r="F147" s="16"/>
      <c r="G147" s="16"/>
    </row>
    <row r="149" spans="1:7" ht="15">
      <c r="A149" s="89" t="s">
        <v>445</v>
      </c>
      <c r="B149" s="90"/>
      <c r="C149" s="91"/>
      <c r="D149" s="23">
        <v>35</v>
      </c>
      <c r="E149" s="18"/>
      <c r="F149" s="18"/>
    </row>
    <row r="150" spans="1:7" ht="15">
      <c r="A150" s="19" t="str">
        <f>Referencias!B58</f>
        <v>Papelão 16x22</v>
      </c>
      <c r="B150" s="26">
        <v>2</v>
      </c>
      <c r="C150" s="6">
        <f>Referencias!F58</f>
        <v>1.5</v>
      </c>
      <c r="D150" s="21">
        <f t="shared" ref="D150:D160" si="10">B150*C150</f>
        <v>3</v>
      </c>
      <c r="E150" s="18"/>
      <c r="F150" s="18"/>
      <c r="G150" s="18"/>
    </row>
    <row r="151" spans="1:7" ht="15">
      <c r="A151" s="19" t="str">
        <f>Referencias!B53</f>
        <v>Papel fotografico A4</v>
      </c>
      <c r="B151" s="26">
        <v>2</v>
      </c>
      <c r="C151" s="6">
        <f>Referencias!F53</f>
        <v>0.8</v>
      </c>
      <c r="D151" s="21">
        <f t="shared" si="10"/>
        <v>1.6</v>
      </c>
      <c r="E151" s="18"/>
      <c r="F151" s="18"/>
      <c r="G151" s="18"/>
    </row>
    <row r="152" spans="1:7" ht="15">
      <c r="A152" s="19" t="str">
        <f>Referencias!B31</f>
        <v>bopp</v>
      </c>
      <c r="B152" s="13">
        <f>0.3*2</f>
        <v>0.6</v>
      </c>
      <c r="C152" s="6">
        <f>Referencias!F31</f>
        <v>0.45</v>
      </c>
      <c r="D152" s="21">
        <f t="shared" si="10"/>
        <v>0.27</v>
      </c>
      <c r="E152" s="18"/>
      <c r="F152" s="18"/>
      <c r="G152" s="18"/>
    </row>
    <row r="153" spans="1:7" ht="15">
      <c r="A153" s="19" t="str">
        <f>Referencias!B48</f>
        <v>Papel guarda 15,5x21,5 offset adesivo</v>
      </c>
      <c r="B153" s="26">
        <v>2</v>
      </c>
      <c r="C153" s="6">
        <f>Referencias!F48</f>
        <v>0.75</v>
      </c>
      <c r="D153" s="21">
        <f t="shared" si="10"/>
        <v>1.5</v>
      </c>
      <c r="E153" s="18"/>
      <c r="F153" s="18"/>
      <c r="G153" s="18"/>
    </row>
    <row r="154" spans="1:7" ht="15">
      <c r="A154" s="19" t="str">
        <f>Referencias!B40</f>
        <v>miolo 75gr A5</v>
      </c>
      <c r="B154" s="26">
        <v>80</v>
      </c>
      <c r="C154" s="6">
        <f>Referencias!F40</f>
        <v>0.03</v>
      </c>
      <c r="D154" s="6">
        <f t="shared" si="10"/>
        <v>2.4</v>
      </c>
      <c r="E154" s="18"/>
      <c r="F154" s="18"/>
      <c r="G154" s="18"/>
    </row>
    <row r="155" spans="1:7" ht="15">
      <c r="A155" s="19" t="str">
        <f>Referencias!B69</f>
        <v>Espiral 20mm</v>
      </c>
      <c r="B155" s="26">
        <v>1</v>
      </c>
      <c r="C155" s="21">
        <f>Referencias!F69</f>
        <v>0.64</v>
      </c>
      <c r="D155" s="21">
        <f t="shared" si="10"/>
        <v>0.64</v>
      </c>
      <c r="E155" s="18"/>
      <c r="F155" s="18"/>
      <c r="G155" s="18"/>
    </row>
    <row r="156" spans="1:7" ht="15">
      <c r="A156" s="19" t="str">
        <f>Referencias!B22</f>
        <v>Impressao Capa A4</v>
      </c>
      <c r="B156" s="26">
        <v>2</v>
      </c>
      <c r="C156" s="6">
        <f>Referencias!F22</f>
        <v>0.5</v>
      </c>
      <c r="D156" s="21">
        <f t="shared" si="10"/>
        <v>1</v>
      </c>
      <c r="E156" s="18"/>
      <c r="F156" s="18"/>
      <c r="G156" s="18"/>
    </row>
    <row r="157" spans="1:7" ht="15">
      <c r="A157" s="19" t="str">
        <f>Referencias!B29</f>
        <v>Impressao Miolo Frente Verso A5</v>
      </c>
      <c r="B157" s="26">
        <v>80</v>
      </c>
      <c r="C157" s="6">
        <f>Referencias!F29</f>
        <v>0.06</v>
      </c>
      <c r="D157" s="21">
        <f t="shared" si="10"/>
        <v>4.8</v>
      </c>
      <c r="E157" s="18"/>
      <c r="F157" s="18"/>
      <c r="G157" s="18"/>
    </row>
    <row r="158" spans="1:7" ht="15">
      <c r="A158" s="19" t="str">
        <f>Referencias!B62</f>
        <v>Frete</v>
      </c>
      <c r="B158" s="27"/>
      <c r="C158" s="28">
        <f>Referencias!F62</f>
        <v>0</v>
      </c>
      <c r="D158" s="21">
        <f t="shared" si="10"/>
        <v>0</v>
      </c>
      <c r="E158" s="18"/>
      <c r="F158" s="18"/>
      <c r="G158" s="18"/>
    </row>
    <row r="159" spans="1:7" ht="15">
      <c r="A159" s="19" t="str">
        <f>Referencias!B15</f>
        <v>Desgaste Caderno A5</v>
      </c>
      <c r="B159" s="26">
        <v>1</v>
      </c>
      <c r="C159" s="6">
        <f>Referencias!F15</f>
        <v>2</v>
      </c>
      <c r="D159" s="21">
        <f t="shared" si="10"/>
        <v>2</v>
      </c>
      <c r="E159" s="18"/>
      <c r="F159" s="18"/>
      <c r="G159" s="18"/>
    </row>
    <row r="160" spans="1:7" ht="15">
      <c r="A160" s="19" t="str">
        <f>Referencias!B17</f>
        <v>Embalagem Padrão</v>
      </c>
      <c r="B160" s="26">
        <v>1</v>
      </c>
      <c r="C160" s="6">
        <f>Referencias!F17</f>
        <v>1.5</v>
      </c>
      <c r="D160" s="21">
        <f t="shared" si="10"/>
        <v>1.5</v>
      </c>
      <c r="E160" s="18"/>
      <c r="F160" s="18"/>
      <c r="G160" s="18"/>
    </row>
    <row r="161" spans="1:7" ht="15">
      <c r="A161" s="22" t="s">
        <v>312</v>
      </c>
      <c r="B161" s="27"/>
      <c r="C161" s="28"/>
      <c r="D161" s="23">
        <f>SUM(D150:D160)</f>
        <v>18.71</v>
      </c>
      <c r="E161" s="18"/>
      <c r="F161" s="18"/>
      <c r="G161" s="18"/>
    </row>
    <row r="162" spans="1:7" ht="15">
      <c r="A162" s="22" t="s">
        <v>313</v>
      </c>
      <c r="B162" s="24">
        <v>0.55000000000000004</v>
      </c>
      <c r="C162" s="21">
        <f>D161*B162</f>
        <v>10.290500000000002</v>
      </c>
      <c r="D162" s="23">
        <f>D161+C162</f>
        <v>29.000500000000002</v>
      </c>
      <c r="E162" s="92"/>
      <c r="F162" s="93"/>
      <c r="G162" s="93"/>
    </row>
    <row r="163" spans="1:7" ht="15">
      <c r="A163" s="22" t="s">
        <v>314</v>
      </c>
      <c r="B163" s="29" t="s">
        <v>322</v>
      </c>
      <c r="C163" s="30"/>
      <c r="D163" s="27"/>
      <c r="E163" s="7"/>
      <c r="F163" s="7"/>
      <c r="G163" s="7"/>
    </row>
    <row r="164" spans="1:7" ht="15">
      <c r="A164" s="22" t="s">
        <v>315</v>
      </c>
      <c r="B164" s="32">
        <v>39</v>
      </c>
      <c r="C164" s="30"/>
      <c r="D164" s="23">
        <v>40</v>
      </c>
      <c r="E164" s="16"/>
      <c r="F164" s="16"/>
      <c r="G164" s="16"/>
    </row>
  </sheetData>
  <mergeCells count="22">
    <mergeCell ref="A1:C1"/>
    <mergeCell ref="E16:G16"/>
    <mergeCell ref="A20:C20"/>
    <mergeCell ref="E35:G35"/>
    <mergeCell ref="A39:C39"/>
    <mergeCell ref="E54:G54"/>
    <mergeCell ref="A58:C58"/>
    <mergeCell ref="E109:G109"/>
    <mergeCell ref="E121:G121"/>
    <mergeCell ref="A125:C125"/>
    <mergeCell ref="E73:G73"/>
    <mergeCell ref="A78:C78"/>
    <mergeCell ref="E84:G84"/>
    <mergeCell ref="A89:C89"/>
    <mergeCell ref="E97:G97"/>
    <mergeCell ref="A101:C101"/>
    <mergeCell ref="A113:C113"/>
    <mergeCell ref="E133:G133"/>
    <mergeCell ref="A137:C137"/>
    <mergeCell ref="E145:G145"/>
    <mergeCell ref="A149:C149"/>
    <mergeCell ref="E162:G162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FF00"/>
    <outlinePr summaryBelow="0" summaryRight="0"/>
  </sheetPr>
  <dimension ref="A1:D153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4" ht="15.75" customHeight="1">
      <c r="A1" s="89" t="s">
        <v>446</v>
      </c>
      <c r="B1" s="90"/>
      <c r="C1" s="91"/>
      <c r="D1" s="3">
        <v>5</v>
      </c>
    </row>
    <row r="2" spans="1:4" ht="15.75" customHeight="1">
      <c r="A2" s="12" t="str">
        <f>Referencias!B104</f>
        <v>Barroco Natural 8 700g</v>
      </c>
      <c r="B2" s="13">
        <v>30</v>
      </c>
      <c r="C2" s="6">
        <f>Referencias!F104</f>
        <v>0.03</v>
      </c>
      <c r="D2" s="6">
        <f t="shared" ref="D2:D5" si="0">B2*C2</f>
        <v>0.89999999999999991</v>
      </c>
    </row>
    <row r="3" spans="1:4" ht="15.75" customHeight="1">
      <c r="A3" s="12" t="str">
        <f>Referencias!B62</f>
        <v>Frete</v>
      </c>
      <c r="B3" s="12"/>
      <c r="C3" s="6">
        <f>Referencias!F62</f>
        <v>0</v>
      </c>
      <c r="D3" s="6">
        <f t="shared" si="0"/>
        <v>0</v>
      </c>
    </row>
    <row r="4" spans="1:4" ht="15.75" customHeight="1">
      <c r="A4" s="12" t="str">
        <f>Referencias!B14</f>
        <v>Desgaste Bloquinho/Outros</v>
      </c>
      <c r="B4" s="13">
        <v>1</v>
      </c>
      <c r="C4" s="6">
        <f>Referencias!F14</f>
        <v>0.5</v>
      </c>
      <c r="D4" s="6">
        <f t="shared" si="0"/>
        <v>0.5</v>
      </c>
    </row>
    <row r="5" spans="1:4" ht="15.75" customHeight="1">
      <c r="A5" s="12" t="str">
        <f>Referencias!B17</f>
        <v>Embalagem Padrão</v>
      </c>
      <c r="B5" s="13">
        <v>1</v>
      </c>
      <c r="C5" s="6">
        <f>Referencias!F17</f>
        <v>1.5</v>
      </c>
      <c r="D5" s="6">
        <f t="shared" si="0"/>
        <v>1.5</v>
      </c>
    </row>
    <row r="6" spans="1:4" ht="15.75" customHeight="1">
      <c r="A6" s="2" t="s">
        <v>312</v>
      </c>
      <c r="B6" s="12"/>
      <c r="C6" s="10"/>
      <c r="D6" s="3">
        <f>SUM(D2:D5)</f>
        <v>2.9</v>
      </c>
    </row>
    <row r="7" spans="1:4" ht="15.75" customHeight="1">
      <c r="A7" s="2" t="s">
        <v>313</v>
      </c>
      <c r="B7" s="15">
        <v>0.55000000000000004</v>
      </c>
      <c r="C7" s="6">
        <f>D6*B7</f>
        <v>1.595</v>
      </c>
      <c r="D7" s="3">
        <f>D6+C7</f>
        <v>4.4950000000000001</v>
      </c>
    </row>
    <row r="8" spans="1:4" ht="15.75" customHeight="1">
      <c r="A8" s="2" t="s">
        <v>314</v>
      </c>
      <c r="B8" s="40"/>
      <c r="C8" s="36"/>
      <c r="D8" s="10"/>
    </row>
    <row r="9" spans="1:4" ht="15.75" customHeight="1">
      <c r="A9" s="2" t="s">
        <v>315</v>
      </c>
      <c r="B9" s="37"/>
      <c r="C9" s="41"/>
      <c r="D9" s="3">
        <v>5</v>
      </c>
    </row>
    <row r="11" spans="1:4" ht="15.75" customHeight="1">
      <c r="A11" s="89" t="s">
        <v>447</v>
      </c>
      <c r="B11" s="90"/>
      <c r="C11" s="91"/>
      <c r="D11" s="3">
        <v>10</v>
      </c>
    </row>
    <row r="12" spans="1:4" ht="15.75" customHeight="1">
      <c r="A12" s="12" t="str">
        <f>Referencias!B104</f>
        <v>Barroco Natural 8 700g</v>
      </c>
      <c r="B12" s="13">
        <v>70</v>
      </c>
      <c r="C12" s="6">
        <f>Referencias!F104</f>
        <v>0.03</v>
      </c>
      <c r="D12" s="6">
        <f t="shared" ref="D12:D15" si="1">B12*C12</f>
        <v>2.1</v>
      </c>
    </row>
    <row r="13" spans="1:4" ht="15.75" customHeight="1">
      <c r="A13" s="12" t="str">
        <f>Referencias!B62</f>
        <v>Frete</v>
      </c>
      <c r="B13" s="12"/>
      <c r="C13" s="6">
        <f>Referencias!F62</f>
        <v>0</v>
      </c>
      <c r="D13" s="6">
        <f t="shared" si="1"/>
        <v>0</v>
      </c>
    </row>
    <row r="14" spans="1:4" ht="15.75" customHeight="1">
      <c r="A14" s="12" t="str">
        <f>Referencias!B14</f>
        <v>Desgaste Bloquinho/Outros</v>
      </c>
      <c r="B14" s="13">
        <v>1</v>
      </c>
      <c r="C14" s="6">
        <f>Referencias!F14</f>
        <v>0.5</v>
      </c>
      <c r="D14" s="6">
        <f t="shared" si="1"/>
        <v>0.5</v>
      </c>
    </row>
    <row r="15" spans="1:4" ht="15.75" customHeight="1">
      <c r="A15" s="12" t="str">
        <f>Referencias!B17</f>
        <v>Embalagem Padrão</v>
      </c>
      <c r="B15" s="13">
        <v>1</v>
      </c>
      <c r="C15" s="6">
        <f>Referencias!F17</f>
        <v>1.5</v>
      </c>
      <c r="D15" s="6">
        <f t="shared" si="1"/>
        <v>1.5</v>
      </c>
    </row>
    <row r="16" spans="1:4" ht="15.75" customHeight="1">
      <c r="A16" s="2" t="s">
        <v>312</v>
      </c>
      <c r="B16" s="12"/>
      <c r="C16" s="10"/>
      <c r="D16" s="3">
        <f>SUM(D12:D15)</f>
        <v>4.0999999999999996</v>
      </c>
    </row>
    <row r="17" spans="1:4" ht="15.75" customHeight="1">
      <c r="A17" s="2" t="s">
        <v>313</v>
      </c>
      <c r="B17" s="15">
        <v>0.55000000000000004</v>
      </c>
      <c r="C17" s="6">
        <f>D16*B17</f>
        <v>2.2549999999999999</v>
      </c>
      <c r="D17" s="3">
        <f>D16+C17</f>
        <v>6.3549999999999995</v>
      </c>
    </row>
    <row r="18" spans="1:4" ht="15.75" customHeight="1">
      <c r="A18" s="2" t="s">
        <v>314</v>
      </c>
      <c r="B18" s="40"/>
      <c r="C18" s="36"/>
      <c r="D18" s="10"/>
    </row>
    <row r="19" spans="1:4" ht="15.75" customHeight="1">
      <c r="A19" s="2" t="s">
        <v>315</v>
      </c>
      <c r="B19" s="37"/>
      <c r="C19" s="41"/>
      <c r="D19" s="3">
        <v>10</v>
      </c>
    </row>
    <row r="21" spans="1:4" ht="15.75" customHeight="1">
      <c r="A21" s="89" t="s">
        <v>448</v>
      </c>
      <c r="B21" s="90"/>
      <c r="C21" s="91"/>
      <c r="D21" s="3">
        <v>5</v>
      </c>
    </row>
    <row r="22" spans="1:4" ht="15.75" customHeight="1">
      <c r="A22" s="12" t="str">
        <f>Referencias!B104</f>
        <v>Barroco Natural 8 700g</v>
      </c>
      <c r="B22" s="13">
        <v>30</v>
      </c>
      <c r="C22" s="6">
        <f>Referencias!F104</f>
        <v>0.03</v>
      </c>
      <c r="D22" s="6">
        <f t="shared" ref="D22:D25" si="2">B22*C22</f>
        <v>0.89999999999999991</v>
      </c>
    </row>
    <row r="23" spans="1:4" ht="15.75" customHeight="1">
      <c r="A23" s="12" t="str">
        <f>Referencias!B62</f>
        <v>Frete</v>
      </c>
      <c r="B23" s="12"/>
      <c r="C23" s="6">
        <f>Referencias!F62</f>
        <v>0</v>
      </c>
      <c r="D23" s="6">
        <f t="shared" si="2"/>
        <v>0</v>
      </c>
    </row>
    <row r="24" spans="1:4" ht="15.75" customHeight="1">
      <c r="A24" s="12" t="str">
        <f>Referencias!B14</f>
        <v>Desgaste Bloquinho/Outros</v>
      </c>
      <c r="B24" s="13">
        <v>1</v>
      </c>
      <c r="C24" s="6">
        <f>Referencias!F14</f>
        <v>0.5</v>
      </c>
      <c r="D24" s="6">
        <f t="shared" si="2"/>
        <v>0.5</v>
      </c>
    </row>
    <row r="25" spans="1:4" ht="15.75" customHeight="1">
      <c r="A25" s="12" t="str">
        <f>Referencias!B17</f>
        <v>Embalagem Padrão</v>
      </c>
      <c r="B25" s="13">
        <v>1</v>
      </c>
      <c r="C25" s="6">
        <f>Referencias!F17</f>
        <v>1.5</v>
      </c>
      <c r="D25" s="6">
        <f t="shared" si="2"/>
        <v>1.5</v>
      </c>
    </row>
    <row r="26" spans="1:4" ht="15.75" customHeight="1">
      <c r="A26" s="2" t="s">
        <v>312</v>
      </c>
      <c r="B26" s="12"/>
      <c r="C26" s="6"/>
      <c r="D26" s="3">
        <f>SUM(D22:D25)</f>
        <v>2.9</v>
      </c>
    </row>
    <row r="27" spans="1:4" ht="15.75" customHeight="1">
      <c r="A27" s="2" t="s">
        <v>313</v>
      </c>
      <c r="B27" s="15">
        <v>0.55000000000000004</v>
      </c>
      <c r="C27" s="6">
        <f>D26*B27</f>
        <v>1.595</v>
      </c>
      <c r="D27" s="3">
        <f>D26+C27</f>
        <v>4.4950000000000001</v>
      </c>
    </row>
    <row r="28" spans="1:4" ht="15.75" customHeight="1">
      <c r="A28" s="2" t="s">
        <v>314</v>
      </c>
      <c r="B28" s="40"/>
      <c r="C28" s="36"/>
      <c r="D28" s="10"/>
    </row>
    <row r="29" spans="1:4" ht="15.75" customHeight="1">
      <c r="A29" s="2" t="s">
        <v>315</v>
      </c>
      <c r="B29" s="37"/>
      <c r="C29" s="36"/>
      <c r="D29" s="3">
        <v>5</v>
      </c>
    </row>
    <row r="31" spans="1:4" ht="15.75" customHeight="1">
      <c r="A31" s="89" t="s">
        <v>449</v>
      </c>
      <c r="B31" s="90"/>
      <c r="C31" s="91"/>
      <c r="D31" s="3">
        <v>10</v>
      </c>
    </row>
    <row r="32" spans="1:4" ht="15.75" customHeight="1">
      <c r="A32" s="12" t="str">
        <f>Referencias!B104</f>
        <v>Barroco Natural 8 700g</v>
      </c>
      <c r="B32" s="13">
        <v>70</v>
      </c>
      <c r="C32" s="6">
        <f>Referencias!F104</f>
        <v>0.03</v>
      </c>
      <c r="D32" s="6">
        <f t="shared" ref="D32:D35" si="3">B32*C32</f>
        <v>2.1</v>
      </c>
    </row>
    <row r="33" spans="1:4" ht="15.75" customHeight="1">
      <c r="A33" s="12" t="str">
        <f>Referencias!B62</f>
        <v>Frete</v>
      </c>
      <c r="B33" s="12"/>
      <c r="C33" s="6">
        <f>Referencias!F62</f>
        <v>0</v>
      </c>
      <c r="D33" s="6">
        <f t="shared" si="3"/>
        <v>0</v>
      </c>
    </row>
    <row r="34" spans="1:4" ht="15.75" customHeight="1">
      <c r="A34" s="12" t="str">
        <f>Referencias!B14</f>
        <v>Desgaste Bloquinho/Outros</v>
      </c>
      <c r="B34" s="13">
        <v>1</v>
      </c>
      <c r="C34" s="6">
        <f>Referencias!F14</f>
        <v>0.5</v>
      </c>
      <c r="D34" s="6">
        <f t="shared" si="3"/>
        <v>0.5</v>
      </c>
    </row>
    <row r="35" spans="1:4" ht="15.75" customHeight="1">
      <c r="A35" s="12" t="str">
        <f>Referencias!B17</f>
        <v>Embalagem Padrão</v>
      </c>
      <c r="B35" s="13">
        <v>1</v>
      </c>
      <c r="C35" s="6">
        <f>Referencias!F17</f>
        <v>1.5</v>
      </c>
      <c r="D35" s="6">
        <f t="shared" si="3"/>
        <v>1.5</v>
      </c>
    </row>
    <row r="36" spans="1:4" ht="15.75" customHeight="1">
      <c r="A36" s="2" t="s">
        <v>312</v>
      </c>
      <c r="B36" s="12"/>
      <c r="C36" s="10"/>
      <c r="D36" s="3">
        <f>SUM(D32:D35)</f>
        <v>4.0999999999999996</v>
      </c>
    </row>
    <row r="37" spans="1:4" ht="15">
      <c r="A37" s="2" t="s">
        <v>313</v>
      </c>
      <c r="B37" s="15">
        <v>0.55000000000000004</v>
      </c>
      <c r="C37" s="6">
        <f>D36*B37</f>
        <v>2.2549999999999999</v>
      </c>
      <c r="D37" s="3">
        <f>D36+C37</f>
        <v>6.3549999999999995</v>
      </c>
    </row>
    <row r="38" spans="1:4" ht="15">
      <c r="A38" s="2" t="s">
        <v>314</v>
      </c>
      <c r="B38" s="40"/>
      <c r="C38" s="36"/>
      <c r="D38" s="10"/>
    </row>
    <row r="39" spans="1:4" ht="15">
      <c r="A39" s="2" t="s">
        <v>315</v>
      </c>
      <c r="B39" s="37"/>
      <c r="C39" s="41"/>
      <c r="D39" s="3">
        <v>10</v>
      </c>
    </row>
    <row r="41" spans="1:4" ht="15">
      <c r="A41" s="89" t="s">
        <v>450</v>
      </c>
      <c r="B41" s="90"/>
      <c r="C41" s="91"/>
      <c r="D41" s="3">
        <v>7.5</v>
      </c>
    </row>
    <row r="42" spans="1:4" ht="15">
      <c r="A42" s="12" t="str">
        <f>Referencias!B104</f>
        <v>Barroco Natural 8 700g</v>
      </c>
      <c r="B42" s="13">
        <v>40</v>
      </c>
      <c r="C42" s="6">
        <f>Referencias!F104</f>
        <v>0.03</v>
      </c>
      <c r="D42" s="6">
        <f t="shared" ref="D42:D45" si="4">B42*C42</f>
        <v>1.2</v>
      </c>
    </row>
    <row r="43" spans="1:4" ht="15">
      <c r="A43" s="12" t="str">
        <f>Referencias!B62</f>
        <v>Frete</v>
      </c>
      <c r="B43" s="12"/>
      <c r="C43" s="6">
        <f>Referencias!F62</f>
        <v>0</v>
      </c>
      <c r="D43" s="6">
        <f t="shared" si="4"/>
        <v>0</v>
      </c>
    </row>
    <row r="44" spans="1:4" ht="15">
      <c r="A44" s="12" t="str">
        <f>Referencias!B14</f>
        <v>Desgaste Bloquinho/Outros</v>
      </c>
      <c r="B44" s="13">
        <v>1</v>
      </c>
      <c r="C44" s="6">
        <f>Referencias!F14</f>
        <v>0.5</v>
      </c>
      <c r="D44" s="6">
        <f t="shared" si="4"/>
        <v>0.5</v>
      </c>
    </row>
    <row r="45" spans="1:4" ht="15">
      <c r="A45" s="12" t="str">
        <f>Referencias!B17</f>
        <v>Embalagem Padrão</v>
      </c>
      <c r="B45" s="13">
        <v>1</v>
      </c>
      <c r="C45" s="6">
        <f>Referencias!F17</f>
        <v>1.5</v>
      </c>
      <c r="D45" s="6">
        <f t="shared" si="4"/>
        <v>1.5</v>
      </c>
    </row>
    <row r="46" spans="1:4" ht="15">
      <c r="A46" s="2" t="s">
        <v>312</v>
      </c>
      <c r="B46" s="12"/>
      <c r="C46" s="10"/>
      <c r="D46" s="3">
        <f>SUM(D42:D45)</f>
        <v>3.2</v>
      </c>
    </row>
    <row r="47" spans="1:4" ht="15">
      <c r="A47" s="2" t="s">
        <v>313</v>
      </c>
      <c r="B47" s="15">
        <v>0.55000000000000004</v>
      </c>
      <c r="C47" s="6">
        <f>D46*B47</f>
        <v>1.7600000000000002</v>
      </c>
      <c r="D47" s="3">
        <f>D46+C47</f>
        <v>4.9600000000000009</v>
      </c>
    </row>
    <row r="48" spans="1:4" ht="15">
      <c r="A48" s="2" t="s">
        <v>314</v>
      </c>
      <c r="B48" s="40"/>
      <c r="C48" s="36"/>
      <c r="D48" s="10"/>
    </row>
    <row r="49" spans="1:4" ht="15">
      <c r="A49" s="2" t="s">
        <v>315</v>
      </c>
      <c r="B49" s="37"/>
      <c r="C49" s="41"/>
      <c r="D49" s="3">
        <v>7.5</v>
      </c>
    </row>
    <row r="51" spans="1:4" ht="15">
      <c r="A51" s="89" t="s">
        <v>451</v>
      </c>
      <c r="B51" s="90"/>
      <c r="C51" s="91"/>
      <c r="D51" s="11">
        <v>8</v>
      </c>
    </row>
    <row r="52" spans="1:4" ht="15">
      <c r="A52" s="12" t="str">
        <f>Referencias!B105</f>
        <v>Fio Anne 500 147g</v>
      </c>
      <c r="B52" s="13">
        <v>24</v>
      </c>
      <c r="C52" s="6">
        <f>Referencias!F105</f>
        <v>0.12</v>
      </c>
      <c r="D52" s="6">
        <f t="shared" ref="D52:D55" si="5">B52*C52</f>
        <v>2.88</v>
      </c>
    </row>
    <row r="53" spans="1:4" ht="15">
      <c r="A53" s="12" t="str">
        <f>Referencias!B62</f>
        <v>Frete</v>
      </c>
      <c r="B53" s="12"/>
      <c r="C53" s="6">
        <f>Referencias!F62</f>
        <v>0</v>
      </c>
      <c r="D53" s="6">
        <f t="shared" si="5"/>
        <v>0</v>
      </c>
    </row>
    <row r="54" spans="1:4" ht="15">
      <c r="A54" s="12" t="str">
        <f>Referencias!B14</f>
        <v>Desgaste Bloquinho/Outros</v>
      </c>
      <c r="B54" s="13">
        <v>1</v>
      </c>
      <c r="C54" s="6">
        <f>Referencias!F14</f>
        <v>0.5</v>
      </c>
      <c r="D54" s="6">
        <f t="shared" si="5"/>
        <v>0.5</v>
      </c>
    </row>
    <row r="55" spans="1:4" ht="15">
      <c r="A55" s="12" t="str">
        <f>Referencias!B17</f>
        <v>Embalagem Padrão</v>
      </c>
      <c r="B55" s="13">
        <v>1</v>
      </c>
      <c r="C55" s="6">
        <f>Referencias!F17</f>
        <v>1.5</v>
      </c>
      <c r="D55" s="6">
        <f t="shared" si="5"/>
        <v>1.5</v>
      </c>
    </row>
    <row r="56" spans="1:4" ht="15">
      <c r="A56" s="2" t="s">
        <v>312</v>
      </c>
      <c r="B56" s="12"/>
      <c r="C56" s="10"/>
      <c r="D56" s="3">
        <f>SUM(D52:D55)</f>
        <v>4.88</v>
      </c>
    </row>
    <row r="57" spans="1:4" ht="15">
      <c r="A57" s="2" t="s">
        <v>313</v>
      </c>
      <c r="B57" s="15">
        <v>0.55000000000000004</v>
      </c>
      <c r="C57" s="6">
        <f>D56*B57</f>
        <v>2.6840000000000002</v>
      </c>
      <c r="D57" s="3">
        <f>D56+C57</f>
        <v>7.5640000000000001</v>
      </c>
    </row>
    <row r="58" spans="1:4" ht="15">
      <c r="A58" s="2" t="s">
        <v>314</v>
      </c>
      <c r="B58" s="40"/>
      <c r="C58" s="36"/>
      <c r="D58" s="10"/>
    </row>
    <row r="59" spans="1:4" ht="15">
      <c r="A59" s="2" t="s">
        <v>315</v>
      </c>
      <c r="B59" s="37"/>
      <c r="C59" s="36"/>
      <c r="D59" s="11">
        <v>8</v>
      </c>
    </row>
    <row r="61" spans="1:4" ht="15">
      <c r="A61" s="89" t="s">
        <v>452</v>
      </c>
      <c r="B61" s="90"/>
      <c r="C61" s="91"/>
      <c r="D61" s="11">
        <v>10</v>
      </c>
    </row>
    <row r="62" spans="1:4" ht="15">
      <c r="A62" s="12" t="str">
        <f>Referencias!B105</f>
        <v>Fio Anne 500 147g</v>
      </c>
      <c r="B62" s="13">
        <v>49</v>
      </c>
      <c r="C62" s="6">
        <f>Referencias!F105</f>
        <v>0.12</v>
      </c>
      <c r="D62" s="6">
        <f t="shared" ref="D62:D65" si="6">B62*C62</f>
        <v>5.88</v>
      </c>
    </row>
    <row r="63" spans="1:4" ht="15">
      <c r="A63" s="12" t="str">
        <f>Referencias!B62</f>
        <v>Frete</v>
      </c>
      <c r="B63" s="12"/>
      <c r="C63" s="6">
        <f>Referencias!F62</f>
        <v>0</v>
      </c>
      <c r="D63" s="6">
        <f t="shared" si="6"/>
        <v>0</v>
      </c>
    </row>
    <row r="64" spans="1:4" ht="15">
      <c r="A64" s="12" t="str">
        <f>Referencias!B14</f>
        <v>Desgaste Bloquinho/Outros</v>
      </c>
      <c r="B64" s="13">
        <v>1</v>
      </c>
      <c r="C64" s="6">
        <f>Referencias!F14</f>
        <v>0.5</v>
      </c>
      <c r="D64" s="6">
        <f t="shared" si="6"/>
        <v>0.5</v>
      </c>
    </row>
    <row r="65" spans="1:4" ht="15">
      <c r="A65" s="12" t="str">
        <f>Referencias!B17</f>
        <v>Embalagem Padrão</v>
      </c>
      <c r="B65" s="13">
        <v>1</v>
      </c>
      <c r="C65" s="6">
        <f>Referencias!F17</f>
        <v>1.5</v>
      </c>
      <c r="D65" s="6">
        <f t="shared" si="6"/>
        <v>1.5</v>
      </c>
    </row>
    <row r="66" spans="1:4" ht="15">
      <c r="A66" s="2" t="s">
        <v>312</v>
      </c>
      <c r="B66" s="12"/>
      <c r="C66" s="10"/>
      <c r="D66" s="3">
        <f>SUM(D62)</f>
        <v>5.88</v>
      </c>
    </row>
    <row r="67" spans="1:4" ht="15">
      <c r="A67" s="2" t="s">
        <v>313</v>
      </c>
      <c r="B67" s="15">
        <v>0.55000000000000004</v>
      </c>
      <c r="C67" s="6">
        <f>D66*B67</f>
        <v>3.234</v>
      </c>
      <c r="D67" s="3">
        <f>D66+C67</f>
        <v>9.1140000000000008</v>
      </c>
    </row>
    <row r="68" spans="1:4" ht="15">
      <c r="A68" s="2" t="s">
        <v>314</v>
      </c>
      <c r="B68" s="40"/>
      <c r="C68" s="36"/>
      <c r="D68" s="10"/>
    </row>
    <row r="69" spans="1:4" ht="15">
      <c r="A69" s="2" t="s">
        <v>315</v>
      </c>
      <c r="B69" s="37"/>
      <c r="C69" s="41"/>
      <c r="D69" s="11">
        <v>10</v>
      </c>
    </row>
    <row r="71" spans="1:4" ht="15">
      <c r="A71" s="89" t="s">
        <v>387</v>
      </c>
      <c r="B71" s="90"/>
      <c r="C71" s="91"/>
      <c r="D71" s="11">
        <v>3.5</v>
      </c>
    </row>
    <row r="72" spans="1:4" ht="15">
      <c r="A72" s="12" t="str">
        <f>Referencias!B101</f>
        <v>Máscara Facial de Limpeza</v>
      </c>
      <c r="B72" s="13">
        <v>1</v>
      </c>
      <c r="C72" s="6">
        <f>Referencias!F101</f>
        <v>1.02</v>
      </c>
      <c r="D72" s="6">
        <f t="shared" ref="D72:D77" si="7">B72*C72</f>
        <v>1.02</v>
      </c>
    </row>
    <row r="73" spans="1:4" ht="15">
      <c r="A73" s="12" t="str">
        <f>Referencias!B100</f>
        <v>Papel 180gr A6</v>
      </c>
      <c r="B73" s="13">
        <v>1</v>
      </c>
      <c r="C73" s="6">
        <f>Referencias!F100</f>
        <v>0.08</v>
      </c>
      <c r="D73" s="6">
        <f t="shared" si="7"/>
        <v>0.08</v>
      </c>
    </row>
    <row r="74" spans="1:4" ht="15">
      <c r="A74" s="12" t="str">
        <f>Referencias!B24</f>
        <v>Impressao Capa A6</v>
      </c>
      <c r="B74" s="13">
        <v>1</v>
      </c>
      <c r="C74" s="6">
        <f>Referencias!F24</f>
        <v>0.13</v>
      </c>
      <c r="D74" s="6">
        <f t="shared" si="7"/>
        <v>0.13</v>
      </c>
    </row>
    <row r="75" spans="1:4" ht="15">
      <c r="A75" s="12" t="str">
        <f>Referencias!B62</f>
        <v>Frete</v>
      </c>
      <c r="B75" s="12"/>
      <c r="C75" s="6">
        <f>Referencias!F62</f>
        <v>0</v>
      </c>
      <c r="D75" s="6">
        <f t="shared" si="7"/>
        <v>0</v>
      </c>
    </row>
    <row r="76" spans="1:4" ht="15">
      <c r="A76" s="12" t="str">
        <f>Referencias!B14</f>
        <v>Desgaste Bloquinho/Outros</v>
      </c>
      <c r="B76" s="13">
        <v>1</v>
      </c>
      <c r="C76" s="6">
        <f>Referencias!F14</f>
        <v>0.5</v>
      </c>
      <c r="D76" s="6">
        <f t="shared" si="7"/>
        <v>0.5</v>
      </c>
    </row>
    <row r="77" spans="1:4" ht="15">
      <c r="A77" s="12" t="str">
        <f>Referencias!B107</f>
        <v>Embalagem Atacado</v>
      </c>
      <c r="B77" s="13">
        <v>1</v>
      </c>
      <c r="C77" s="6">
        <f>Referencias!F107</f>
        <v>0.5</v>
      </c>
      <c r="D77" s="6">
        <f t="shared" si="7"/>
        <v>0.5</v>
      </c>
    </row>
    <row r="78" spans="1:4" ht="15">
      <c r="A78" s="2" t="s">
        <v>312</v>
      </c>
      <c r="B78" s="12"/>
      <c r="C78" s="6"/>
      <c r="D78" s="3">
        <f>SUM(D72:D77)</f>
        <v>2.23</v>
      </c>
    </row>
    <row r="79" spans="1:4" ht="15">
      <c r="A79" s="2" t="s">
        <v>313</v>
      </c>
      <c r="B79" s="15">
        <v>0.55000000000000004</v>
      </c>
      <c r="C79" s="6">
        <f>D78*B79</f>
        <v>1.2265000000000001</v>
      </c>
      <c r="D79" s="3">
        <f>D78+C79</f>
        <v>3.4565000000000001</v>
      </c>
    </row>
    <row r="80" spans="1:4" ht="15">
      <c r="A80" s="2" t="s">
        <v>314</v>
      </c>
      <c r="B80" s="12"/>
      <c r="C80" s="10"/>
      <c r="D80" s="10"/>
    </row>
    <row r="81" spans="1:4" ht="15">
      <c r="A81" s="2" t="s">
        <v>315</v>
      </c>
      <c r="B81" s="12"/>
      <c r="C81" s="10"/>
      <c r="D81" s="11">
        <v>4</v>
      </c>
    </row>
    <row r="83" spans="1:4" ht="15">
      <c r="A83" s="89" t="s">
        <v>389</v>
      </c>
      <c r="B83" s="90"/>
      <c r="C83" s="91"/>
      <c r="D83" s="11">
        <v>3.5</v>
      </c>
    </row>
    <row r="84" spans="1:4" ht="15">
      <c r="A84" s="12" t="str">
        <f>Referencias!B106</f>
        <v>Papel 180gr Capa 6x6</v>
      </c>
      <c r="B84" s="13">
        <v>1</v>
      </c>
      <c r="C84" s="6">
        <f>Referencias!F106</f>
        <v>0.08</v>
      </c>
      <c r="D84" s="6">
        <f t="shared" ref="D84:D89" si="8">B84*C84</f>
        <v>0.08</v>
      </c>
    </row>
    <row r="85" spans="1:4" ht="15">
      <c r="A85" s="12" t="str">
        <f>Referencias!B39</f>
        <v>miolo 75gr A4</v>
      </c>
      <c r="B85" s="13">
        <v>4</v>
      </c>
      <c r="C85" s="6">
        <f>Referencias!F39</f>
        <v>0.06</v>
      </c>
      <c r="D85" s="6">
        <f t="shared" si="8"/>
        <v>0.24</v>
      </c>
    </row>
    <row r="86" spans="1:4" ht="15">
      <c r="A86" s="12" t="str">
        <f>Referencias!B24</f>
        <v>Impressao Capa A6</v>
      </c>
      <c r="B86" s="13">
        <v>1</v>
      </c>
      <c r="C86" s="6">
        <f>Referencias!F24</f>
        <v>0.13</v>
      </c>
      <c r="D86" s="6">
        <f t="shared" si="8"/>
        <v>0.13</v>
      </c>
    </row>
    <row r="87" spans="1:4" ht="15">
      <c r="A87" s="12" t="str">
        <f>Referencias!B62</f>
        <v>Frete</v>
      </c>
      <c r="B87" s="12"/>
      <c r="C87" s="6">
        <f>Referencias!F62</f>
        <v>0</v>
      </c>
      <c r="D87" s="6">
        <f t="shared" si="8"/>
        <v>0</v>
      </c>
    </row>
    <row r="88" spans="1:4" ht="15">
      <c r="A88" s="12" t="str">
        <f>Referencias!B14</f>
        <v>Desgaste Bloquinho/Outros</v>
      </c>
      <c r="B88" s="13">
        <v>1</v>
      </c>
      <c r="C88" s="6">
        <f>Referencias!F14</f>
        <v>0.5</v>
      </c>
      <c r="D88" s="6">
        <f t="shared" si="8"/>
        <v>0.5</v>
      </c>
    </row>
    <row r="89" spans="1:4" ht="15">
      <c r="A89" s="12" t="str">
        <f>Referencias!B107</f>
        <v>Embalagem Atacado</v>
      </c>
      <c r="B89" s="13">
        <v>1</v>
      </c>
      <c r="C89" s="6">
        <f>Referencias!F107</f>
        <v>0.5</v>
      </c>
      <c r="D89" s="6">
        <f t="shared" si="8"/>
        <v>0.5</v>
      </c>
    </row>
    <row r="90" spans="1:4" ht="15">
      <c r="A90" s="2" t="s">
        <v>312</v>
      </c>
      <c r="B90" s="12"/>
      <c r="C90" s="6"/>
      <c r="D90" s="3">
        <f>SUM(D84:D89)</f>
        <v>1.45</v>
      </c>
    </row>
    <row r="91" spans="1:4" ht="15">
      <c r="A91" s="2" t="s">
        <v>313</v>
      </c>
      <c r="B91" s="15">
        <v>0.55000000000000004</v>
      </c>
      <c r="C91" s="6">
        <f>D90*B91</f>
        <v>0.79749999999999999</v>
      </c>
      <c r="D91" s="3">
        <f>D90+C91</f>
        <v>2.2475000000000001</v>
      </c>
    </row>
    <row r="92" spans="1:4" ht="15">
      <c r="A92" s="2" t="s">
        <v>314</v>
      </c>
      <c r="B92" s="12"/>
      <c r="C92" s="10"/>
      <c r="D92" s="10"/>
    </row>
    <row r="93" spans="1:4" ht="15">
      <c r="A93" s="2" t="s">
        <v>315</v>
      </c>
      <c r="B93" s="12"/>
      <c r="C93" s="10"/>
      <c r="D93" s="11">
        <v>4</v>
      </c>
    </row>
    <row r="95" spans="1:4" ht="15">
      <c r="A95" s="89" t="s">
        <v>389</v>
      </c>
      <c r="B95" s="90"/>
      <c r="C95" s="91"/>
      <c r="D95" s="11">
        <v>3.5</v>
      </c>
    </row>
    <row r="96" spans="1:4" ht="15">
      <c r="A96" s="12" t="str">
        <f>Referencias!B84</f>
        <v>Papel 180gr A4</v>
      </c>
      <c r="B96" s="13">
        <v>6</v>
      </c>
      <c r="C96" s="6">
        <f>Referencias!F55</f>
        <v>0.27</v>
      </c>
      <c r="D96" s="6">
        <f t="shared" ref="D96:D101" si="9">B96*C96</f>
        <v>1.62</v>
      </c>
    </row>
    <row r="97" spans="1:4" ht="15">
      <c r="A97" s="12" t="s">
        <v>453</v>
      </c>
      <c r="B97" s="13">
        <v>1</v>
      </c>
      <c r="C97" s="6">
        <f>Referencias!F40</f>
        <v>0.03</v>
      </c>
      <c r="D97" s="6">
        <f t="shared" si="9"/>
        <v>0.03</v>
      </c>
    </row>
    <row r="98" spans="1:4" ht="15">
      <c r="A98" s="12" t="str">
        <f>Referencias!B22</f>
        <v>Impressao Capa A4</v>
      </c>
      <c r="B98" s="12"/>
      <c r="C98" s="6">
        <f>Referencias!F78</f>
        <v>27.8</v>
      </c>
      <c r="D98" s="6">
        <f t="shared" si="9"/>
        <v>0</v>
      </c>
    </row>
    <row r="99" spans="1:4" ht="15">
      <c r="A99" s="12" t="str">
        <f>Referencias!B62</f>
        <v>Frete</v>
      </c>
      <c r="B99" s="12"/>
      <c r="C99" s="6">
        <f>Referencias!F62</f>
        <v>0</v>
      </c>
      <c r="D99" s="6">
        <f t="shared" si="9"/>
        <v>0</v>
      </c>
    </row>
    <row r="100" spans="1:4" ht="15">
      <c r="A100" s="12" t="str">
        <f>Referencias!B14</f>
        <v>Desgaste Bloquinho/Outros</v>
      </c>
      <c r="B100" s="13">
        <v>1</v>
      </c>
      <c r="C100" s="6">
        <f>Referencias!F14</f>
        <v>0.5</v>
      </c>
      <c r="D100" s="6">
        <f t="shared" si="9"/>
        <v>0.5</v>
      </c>
    </row>
    <row r="101" spans="1:4" ht="15">
      <c r="A101" s="12" t="str">
        <f>Referencias!B107</f>
        <v>Embalagem Atacado</v>
      </c>
      <c r="B101" s="13">
        <v>1</v>
      </c>
      <c r="C101" s="6">
        <f>Referencias!F107</f>
        <v>0.5</v>
      </c>
      <c r="D101" s="6">
        <f t="shared" si="9"/>
        <v>0.5</v>
      </c>
    </row>
    <row r="102" spans="1:4" ht="15">
      <c r="A102" s="2" t="s">
        <v>312</v>
      </c>
      <c r="B102" s="12"/>
      <c r="C102" s="6"/>
      <c r="D102" s="3">
        <f>SUM(D96:D101)</f>
        <v>2.6500000000000004</v>
      </c>
    </row>
    <row r="103" spans="1:4" ht="15">
      <c r="A103" s="2" t="s">
        <v>313</v>
      </c>
      <c r="B103" s="15">
        <v>0.55000000000000004</v>
      </c>
      <c r="C103" s="6">
        <f>D102*B103</f>
        <v>1.4575000000000002</v>
      </c>
      <c r="D103" s="3">
        <f>D102+C103</f>
        <v>4.1075000000000008</v>
      </c>
    </row>
    <row r="104" spans="1:4" ht="15">
      <c r="A104" s="2" t="s">
        <v>314</v>
      </c>
      <c r="B104" s="12"/>
      <c r="C104" s="10"/>
      <c r="D104" s="10"/>
    </row>
    <row r="105" spans="1:4" ht="15">
      <c r="A105" s="2" t="s">
        <v>315</v>
      </c>
      <c r="B105" s="12"/>
      <c r="C105" s="10"/>
      <c r="D105" s="11">
        <v>4</v>
      </c>
    </row>
    <row r="107" spans="1:4" ht="15">
      <c r="A107" s="89" t="s">
        <v>415</v>
      </c>
      <c r="B107" s="90"/>
      <c r="C107" s="91"/>
      <c r="D107" s="11">
        <v>3.35</v>
      </c>
    </row>
    <row r="108" spans="1:4" ht="15">
      <c r="A108" s="12" t="str">
        <f>Referencias!B110</f>
        <v>Chocolate Baton 16g</v>
      </c>
      <c r="B108" s="13">
        <v>1</v>
      </c>
      <c r="C108" s="6">
        <f>Referencias!F110</f>
        <v>0.93</v>
      </c>
      <c r="D108" s="6">
        <f t="shared" ref="D108:D113" si="10">B108*C108</f>
        <v>0.93</v>
      </c>
    </row>
    <row r="109" spans="1:4" ht="15">
      <c r="A109" s="12" t="str">
        <f>Referencias!B111</f>
        <v>Card OffSet 180gr</v>
      </c>
      <c r="B109" s="13">
        <v>1</v>
      </c>
      <c r="C109" s="6">
        <f>Referencias!F111</f>
        <v>0.05</v>
      </c>
      <c r="D109" s="6">
        <f t="shared" si="10"/>
        <v>0.05</v>
      </c>
    </row>
    <row r="110" spans="1:4" ht="15">
      <c r="A110" s="12" t="str">
        <f>Referencias!B112</f>
        <v>Impressao Card</v>
      </c>
      <c r="B110" s="13">
        <v>1</v>
      </c>
      <c r="C110" s="6">
        <f>Referencias!F112</f>
        <v>0.08</v>
      </c>
      <c r="D110" s="6">
        <f t="shared" si="10"/>
        <v>0.08</v>
      </c>
    </row>
    <row r="111" spans="1:4" ht="15">
      <c r="A111" s="12" t="str">
        <f>Referencias!B62</f>
        <v>Frete</v>
      </c>
      <c r="B111" s="12"/>
      <c r="C111" s="6">
        <f>Referencias!F62</f>
        <v>0</v>
      </c>
      <c r="D111" s="6">
        <f t="shared" si="10"/>
        <v>0</v>
      </c>
    </row>
    <row r="112" spans="1:4" ht="15">
      <c r="A112" s="12" t="str">
        <f>Referencias!B14</f>
        <v>Desgaste Bloquinho/Outros</v>
      </c>
      <c r="B112" s="13">
        <v>1</v>
      </c>
      <c r="C112" s="6">
        <f>Referencias!F14</f>
        <v>0.5</v>
      </c>
      <c r="D112" s="6">
        <f t="shared" si="10"/>
        <v>0.5</v>
      </c>
    </row>
    <row r="113" spans="1:4" ht="15">
      <c r="A113" s="12" t="str">
        <f>Referencias!B107</f>
        <v>Embalagem Atacado</v>
      </c>
      <c r="B113" s="13">
        <v>1</v>
      </c>
      <c r="C113" s="6">
        <f>Referencias!F107</f>
        <v>0.5</v>
      </c>
      <c r="D113" s="6">
        <f t="shared" si="10"/>
        <v>0.5</v>
      </c>
    </row>
    <row r="114" spans="1:4" ht="15">
      <c r="A114" s="2" t="s">
        <v>312</v>
      </c>
      <c r="B114" s="12"/>
      <c r="C114" s="6"/>
      <c r="D114" s="3">
        <f>SUM(D108:D113)</f>
        <v>2.06</v>
      </c>
    </row>
    <row r="115" spans="1:4" ht="15">
      <c r="A115" s="2" t="s">
        <v>313</v>
      </c>
      <c r="B115" s="15">
        <v>0.55000000000000004</v>
      </c>
      <c r="C115" s="6">
        <f>D114*B115</f>
        <v>1.1330000000000002</v>
      </c>
      <c r="D115" s="3">
        <f>D114+C115</f>
        <v>3.1930000000000005</v>
      </c>
    </row>
    <row r="116" spans="1:4" ht="15">
      <c r="A116" s="2" t="s">
        <v>314</v>
      </c>
      <c r="B116" s="12"/>
      <c r="C116" s="10"/>
      <c r="D116" s="10"/>
    </row>
    <row r="117" spans="1:4" ht="15">
      <c r="A117" s="2" t="s">
        <v>315</v>
      </c>
      <c r="B117" s="12"/>
      <c r="C117" s="10"/>
      <c r="D117" s="11">
        <v>3.5</v>
      </c>
    </row>
    <row r="119" spans="1:4" ht="15">
      <c r="A119" s="89" t="s">
        <v>454</v>
      </c>
      <c r="B119" s="90"/>
      <c r="C119" s="91"/>
      <c r="D119" s="11">
        <v>2.75</v>
      </c>
    </row>
    <row r="120" spans="1:4" ht="15">
      <c r="A120" s="12" t="str">
        <f>Referencias!B113</f>
        <v>Bon Bon Arcor 15g</v>
      </c>
      <c r="B120" s="13">
        <v>1</v>
      </c>
      <c r="C120" s="6">
        <f>Referencias!F113</f>
        <v>0.64</v>
      </c>
      <c r="D120" s="6">
        <f t="shared" ref="D120:D125" si="11">B120*C120</f>
        <v>0.64</v>
      </c>
    </row>
    <row r="121" spans="1:4" ht="15">
      <c r="A121" s="12" t="str">
        <f>Referencias!B111</f>
        <v>Card OffSet 180gr</v>
      </c>
      <c r="B121" s="13">
        <v>1</v>
      </c>
      <c r="C121" s="6">
        <f>Referencias!F111</f>
        <v>0.05</v>
      </c>
      <c r="D121" s="6">
        <f t="shared" si="11"/>
        <v>0.05</v>
      </c>
    </row>
    <row r="122" spans="1:4" ht="15">
      <c r="A122" s="12" t="str">
        <f>Referencias!B112</f>
        <v>Impressao Card</v>
      </c>
      <c r="B122" s="13">
        <v>1</v>
      </c>
      <c r="C122" s="6">
        <f>Referencias!F112</f>
        <v>0.08</v>
      </c>
      <c r="D122" s="6">
        <f t="shared" si="11"/>
        <v>0.08</v>
      </c>
    </row>
    <row r="123" spans="1:4" ht="15">
      <c r="A123" s="12" t="str">
        <f>Referencias!B62</f>
        <v>Frete</v>
      </c>
      <c r="B123" s="12"/>
      <c r="C123" s="6">
        <f>Referencias!F62</f>
        <v>0</v>
      </c>
      <c r="D123" s="6">
        <f t="shared" si="11"/>
        <v>0</v>
      </c>
    </row>
    <row r="124" spans="1:4" ht="15">
      <c r="A124" s="12" t="str">
        <f>Referencias!B14</f>
        <v>Desgaste Bloquinho/Outros</v>
      </c>
      <c r="B124" s="13">
        <v>1</v>
      </c>
      <c r="C124" s="6">
        <f>Referencias!F14</f>
        <v>0.5</v>
      </c>
      <c r="D124" s="6">
        <f t="shared" si="11"/>
        <v>0.5</v>
      </c>
    </row>
    <row r="125" spans="1:4" ht="15">
      <c r="A125" s="12" t="str">
        <f>Referencias!B107</f>
        <v>Embalagem Atacado</v>
      </c>
      <c r="B125" s="13">
        <v>1</v>
      </c>
      <c r="C125" s="6">
        <f>Referencias!F107</f>
        <v>0.5</v>
      </c>
      <c r="D125" s="6">
        <f t="shared" si="11"/>
        <v>0.5</v>
      </c>
    </row>
    <row r="126" spans="1:4" ht="15">
      <c r="A126" s="2" t="s">
        <v>312</v>
      </c>
      <c r="B126" s="12"/>
      <c r="C126" s="6"/>
      <c r="D126" s="3">
        <f>SUM(D120:D125)</f>
        <v>1.77</v>
      </c>
    </row>
    <row r="127" spans="1:4" ht="15">
      <c r="A127" s="2" t="s">
        <v>313</v>
      </c>
      <c r="B127" s="15">
        <v>0.55000000000000004</v>
      </c>
      <c r="C127" s="6">
        <f>D126*B127</f>
        <v>0.97350000000000014</v>
      </c>
      <c r="D127" s="3">
        <f>D126+C127</f>
        <v>2.7435</v>
      </c>
    </row>
    <row r="128" spans="1:4" ht="15">
      <c r="A128" s="2" t="s">
        <v>314</v>
      </c>
      <c r="B128" s="12"/>
      <c r="C128" s="10"/>
      <c r="D128" s="10"/>
    </row>
    <row r="129" spans="1:4" ht="15">
      <c r="A129" s="2" t="s">
        <v>315</v>
      </c>
      <c r="B129" s="12"/>
      <c r="C129" s="10"/>
      <c r="D129" s="11">
        <v>2.8</v>
      </c>
    </row>
    <row r="131" spans="1:4" ht="15">
      <c r="A131" s="89" t="s">
        <v>417</v>
      </c>
      <c r="B131" s="90"/>
      <c r="C131" s="91"/>
      <c r="D131" s="11">
        <v>3.5</v>
      </c>
    </row>
    <row r="132" spans="1:4" ht="15">
      <c r="A132" s="12" t="str">
        <f>Referencias!B114</f>
        <v>Sonho de Valsa 15g</v>
      </c>
      <c r="B132" s="13">
        <v>1</v>
      </c>
      <c r="C132" s="6">
        <f>Referencias!F114</f>
        <v>1.17</v>
      </c>
      <c r="D132" s="6">
        <f t="shared" ref="D132:D137" si="12">B132*C132</f>
        <v>1.17</v>
      </c>
    </row>
    <row r="133" spans="1:4" ht="15">
      <c r="A133" s="12" t="str">
        <f>Referencias!B111</f>
        <v>Card OffSet 180gr</v>
      </c>
      <c r="B133" s="13">
        <v>1</v>
      </c>
      <c r="C133" s="6">
        <f>Referencias!F111</f>
        <v>0.05</v>
      </c>
      <c r="D133" s="6">
        <f t="shared" si="12"/>
        <v>0.05</v>
      </c>
    </row>
    <row r="134" spans="1:4" ht="15">
      <c r="A134" s="12" t="str">
        <f>Referencias!B112</f>
        <v>Impressao Card</v>
      </c>
      <c r="B134" s="13">
        <v>1</v>
      </c>
      <c r="C134" s="6">
        <f>Referencias!F112</f>
        <v>0.08</v>
      </c>
      <c r="D134" s="6">
        <f t="shared" si="12"/>
        <v>0.08</v>
      </c>
    </row>
    <row r="135" spans="1:4" ht="15">
      <c r="A135" s="12" t="str">
        <f>Referencias!B62</f>
        <v>Frete</v>
      </c>
      <c r="B135" s="12"/>
      <c r="C135" s="6">
        <f>Referencias!F62</f>
        <v>0</v>
      </c>
      <c r="D135" s="6">
        <f t="shared" si="12"/>
        <v>0</v>
      </c>
    </row>
    <row r="136" spans="1:4" ht="15">
      <c r="A136" s="12" t="str">
        <f>Referencias!B14</f>
        <v>Desgaste Bloquinho/Outros</v>
      </c>
      <c r="B136" s="13">
        <v>1</v>
      </c>
      <c r="C136" s="6">
        <f>Referencias!F14</f>
        <v>0.5</v>
      </c>
      <c r="D136" s="6">
        <f t="shared" si="12"/>
        <v>0.5</v>
      </c>
    </row>
    <row r="137" spans="1:4" ht="15">
      <c r="A137" s="12" t="str">
        <f>Referencias!B107</f>
        <v>Embalagem Atacado</v>
      </c>
      <c r="B137" s="13">
        <v>1</v>
      </c>
      <c r="C137" s="6">
        <f>Referencias!F107</f>
        <v>0.5</v>
      </c>
      <c r="D137" s="6">
        <f t="shared" si="12"/>
        <v>0.5</v>
      </c>
    </row>
    <row r="138" spans="1:4" ht="15">
      <c r="A138" s="2" t="s">
        <v>312</v>
      </c>
      <c r="B138" s="12"/>
      <c r="C138" s="6"/>
      <c r="D138" s="3">
        <f>SUM(D132:D137)</f>
        <v>2.2999999999999998</v>
      </c>
    </row>
    <row r="139" spans="1:4" ht="15">
      <c r="A139" s="2" t="s">
        <v>313</v>
      </c>
      <c r="B139" s="15">
        <v>0.55000000000000004</v>
      </c>
      <c r="C139" s="6">
        <f>D138*B139</f>
        <v>1.2649999999999999</v>
      </c>
      <c r="D139" s="3">
        <f>D138+C139</f>
        <v>3.5649999999999995</v>
      </c>
    </row>
    <row r="140" spans="1:4" ht="15">
      <c r="A140" s="2" t="s">
        <v>314</v>
      </c>
      <c r="B140" s="12"/>
      <c r="C140" s="10"/>
      <c r="D140" s="10"/>
    </row>
    <row r="141" spans="1:4" ht="15">
      <c r="A141" s="2" t="s">
        <v>315</v>
      </c>
      <c r="B141" s="12"/>
      <c r="C141" s="10"/>
      <c r="D141" s="11">
        <v>3.5</v>
      </c>
    </row>
    <row r="143" spans="1:4" ht="15">
      <c r="A143" s="89" t="s">
        <v>418</v>
      </c>
      <c r="B143" s="90"/>
      <c r="C143" s="91"/>
      <c r="D143" s="11">
        <v>2.35</v>
      </c>
    </row>
    <row r="144" spans="1:4" ht="15">
      <c r="A144" s="12" t="str">
        <f>Referencias!B115</f>
        <v>Moranguete 13g</v>
      </c>
      <c r="B144" s="13">
        <v>1</v>
      </c>
      <c r="C144" s="6">
        <f>Referencias!F115</f>
        <v>0.39</v>
      </c>
      <c r="D144" s="6">
        <f t="shared" ref="D144:D149" si="13">B144*C144</f>
        <v>0.39</v>
      </c>
    </row>
    <row r="145" spans="1:4" ht="15">
      <c r="A145" s="12" t="str">
        <f>Referencias!B111</f>
        <v>Card OffSet 180gr</v>
      </c>
      <c r="B145" s="13">
        <v>1</v>
      </c>
      <c r="C145" s="6">
        <f>Referencias!F111</f>
        <v>0.05</v>
      </c>
      <c r="D145" s="6">
        <f t="shared" si="13"/>
        <v>0.05</v>
      </c>
    </row>
    <row r="146" spans="1:4" ht="15">
      <c r="A146" s="12" t="str">
        <f>Referencias!B112</f>
        <v>Impressao Card</v>
      </c>
      <c r="B146" s="13">
        <v>1</v>
      </c>
      <c r="C146" s="6">
        <f>Referencias!F112</f>
        <v>0.08</v>
      </c>
      <c r="D146" s="6">
        <f t="shared" si="13"/>
        <v>0.08</v>
      </c>
    </row>
    <row r="147" spans="1:4" ht="15">
      <c r="A147" s="12" t="str">
        <f>Referencias!B62</f>
        <v>Frete</v>
      </c>
      <c r="B147" s="12"/>
      <c r="C147" s="6">
        <f>Referencias!F62</f>
        <v>0</v>
      </c>
      <c r="D147" s="6">
        <f t="shared" si="13"/>
        <v>0</v>
      </c>
    </row>
    <row r="148" spans="1:4" ht="15">
      <c r="A148" s="12" t="str">
        <f>Referencias!B14</f>
        <v>Desgaste Bloquinho/Outros</v>
      </c>
      <c r="B148" s="13">
        <v>1</v>
      </c>
      <c r="C148" s="6">
        <f>Referencias!F14</f>
        <v>0.5</v>
      </c>
      <c r="D148" s="6">
        <f t="shared" si="13"/>
        <v>0.5</v>
      </c>
    </row>
    <row r="149" spans="1:4" ht="15">
      <c r="A149" s="12" t="str">
        <f>Referencias!B107</f>
        <v>Embalagem Atacado</v>
      </c>
      <c r="B149" s="13">
        <v>1</v>
      </c>
      <c r="C149" s="6">
        <f>Referencias!F107</f>
        <v>0.5</v>
      </c>
      <c r="D149" s="6">
        <f t="shared" si="13"/>
        <v>0.5</v>
      </c>
    </row>
    <row r="150" spans="1:4" ht="15">
      <c r="A150" s="2" t="s">
        <v>312</v>
      </c>
      <c r="B150" s="12"/>
      <c r="C150" s="6"/>
      <c r="D150" s="3">
        <f>SUM(D144:D149)</f>
        <v>1.52</v>
      </c>
    </row>
    <row r="151" spans="1:4" ht="15">
      <c r="A151" s="2" t="s">
        <v>313</v>
      </c>
      <c r="B151" s="15">
        <v>0.55000000000000004</v>
      </c>
      <c r="C151" s="6">
        <f>D150*B151</f>
        <v>0.83600000000000008</v>
      </c>
      <c r="D151" s="3">
        <f>D150+C151</f>
        <v>2.3559999999999999</v>
      </c>
    </row>
    <row r="152" spans="1:4" ht="15">
      <c r="A152" s="2" t="s">
        <v>314</v>
      </c>
      <c r="B152" s="12"/>
      <c r="C152" s="10"/>
      <c r="D152" s="10"/>
    </row>
    <row r="153" spans="1:4" ht="15">
      <c r="A153" s="2" t="s">
        <v>315</v>
      </c>
      <c r="B153" s="12"/>
      <c r="C153" s="10"/>
      <c r="D153" s="11">
        <v>2.4</v>
      </c>
    </row>
  </sheetData>
  <mergeCells count="14">
    <mergeCell ref="A51:C51"/>
    <mergeCell ref="A61:C61"/>
    <mergeCell ref="A31:C31"/>
    <mergeCell ref="A41:C41"/>
    <mergeCell ref="A1:C1"/>
    <mergeCell ref="A11:C11"/>
    <mergeCell ref="A21:C21"/>
    <mergeCell ref="A143:C143"/>
    <mergeCell ref="A95:C95"/>
    <mergeCell ref="A107:C107"/>
    <mergeCell ref="A119:C119"/>
    <mergeCell ref="A71:C71"/>
    <mergeCell ref="A83:C83"/>
    <mergeCell ref="A131:C131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FF00"/>
    <outlinePr summaryBelow="0" summaryRight="0"/>
  </sheetPr>
  <dimension ref="A1:H125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9" customWidth="1"/>
    <col min="3" max="4" width="7.7109375" customWidth="1"/>
    <col min="5" max="5" width="8.42578125" customWidth="1"/>
    <col min="6" max="7" width="7.42578125" customWidth="1"/>
    <col min="9" max="9" width="37.28515625" customWidth="1"/>
    <col min="10" max="10" width="13.42578125" customWidth="1"/>
    <col min="11" max="11" width="13.28515625" customWidth="1"/>
    <col min="17" max="17" width="28.5703125" customWidth="1"/>
  </cols>
  <sheetData>
    <row r="1" spans="1:7" ht="15.75" customHeight="1">
      <c r="A1" s="89" t="s">
        <v>321</v>
      </c>
      <c r="B1" s="90"/>
      <c r="C1" s="91"/>
      <c r="D1" s="3">
        <v>37.9</v>
      </c>
    </row>
    <row r="2" spans="1:7" ht="15.75" customHeight="1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4" si="0">B2*C2</f>
        <v>3</v>
      </c>
    </row>
    <row r="3" spans="1:7" ht="15.75" customHeight="1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</row>
    <row r="4" spans="1:7" ht="15.75" customHeight="1">
      <c r="A4" s="12" t="str">
        <f>Referencias!B31</f>
        <v>bopp</v>
      </c>
      <c r="B4" s="13">
        <f>0.3*2</f>
        <v>0.6</v>
      </c>
      <c r="C4" s="6">
        <f>Referencias!F31</f>
        <v>0.45</v>
      </c>
      <c r="D4" s="6">
        <f t="shared" si="0"/>
        <v>0.27</v>
      </c>
    </row>
    <row r="5" spans="1:7" ht="15.75" customHeight="1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</row>
    <row r="6" spans="1:7" ht="15.75" customHeight="1">
      <c r="A6" s="12" t="str">
        <f>Referencias!B40</f>
        <v>miolo 75gr A5</v>
      </c>
      <c r="B6" s="13">
        <v>109</v>
      </c>
      <c r="C6" s="6">
        <f>Referencias!F40</f>
        <v>0.03</v>
      </c>
      <c r="D6" s="6">
        <f t="shared" si="0"/>
        <v>3.27</v>
      </c>
    </row>
    <row r="7" spans="1:7" ht="15.75" customHeight="1">
      <c r="A7" s="12" t="str">
        <f>Referencias!B34</f>
        <v>Bolso  offset 180gr</v>
      </c>
      <c r="B7" s="13">
        <v>1</v>
      </c>
      <c r="C7" s="6">
        <f>Referencias!F34</f>
        <v>0.32</v>
      </c>
      <c r="D7" s="6">
        <f t="shared" si="0"/>
        <v>0.32</v>
      </c>
    </row>
    <row r="8" spans="1:7" ht="15.75" customHeight="1">
      <c r="A8" s="12" t="str">
        <f>Referencias!B19</f>
        <v>Espiral 29mm</v>
      </c>
      <c r="B8" s="13">
        <v>1</v>
      </c>
      <c r="C8" s="6">
        <f>Referencias!F19</f>
        <v>1.83</v>
      </c>
      <c r="D8" s="6">
        <f t="shared" si="0"/>
        <v>1.83</v>
      </c>
    </row>
    <row r="9" spans="1:7" ht="15.75" customHeight="1">
      <c r="A9" s="12" t="str">
        <f>Referencias!B22</f>
        <v>Impressao Capa A4</v>
      </c>
      <c r="B9" s="13">
        <v>2</v>
      </c>
      <c r="C9" s="6">
        <f>Referencias!F22</f>
        <v>0.5</v>
      </c>
      <c r="D9" s="6">
        <f t="shared" si="0"/>
        <v>1</v>
      </c>
    </row>
    <row r="10" spans="1:7" ht="15.75" customHeight="1">
      <c r="A10" s="12" t="str">
        <f>Referencias!B29</f>
        <v>Impressao Miolo Frente Verso A5</v>
      </c>
      <c r="B10" s="13">
        <v>109</v>
      </c>
      <c r="C10" s="6">
        <f>Referencias!F29</f>
        <v>0.06</v>
      </c>
      <c r="D10" s="6">
        <f t="shared" si="0"/>
        <v>6.54</v>
      </c>
    </row>
    <row r="11" spans="1:7" ht="15.75" customHeight="1">
      <c r="A11" s="12" t="str">
        <f>Referencias!B21</f>
        <v>Impressao Bolso A4</v>
      </c>
      <c r="B11" s="13">
        <v>1</v>
      </c>
      <c r="C11" s="6">
        <f>Referencias!F21</f>
        <v>1</v>
      </c>
      <c r="D11" s="6">
        <f t="shared" si="0"/>
        <v>1</v>
      </c>
    </row>
    <row r="12" spans="1:7" ht="15.75" customHeight="1">
      <c r="A12" s="12" t="str">
        <f>Referencias!B62</f>
        <v>Frete</v>
      </c>
      <c r="B12" s="12"/>
      <c r="C12" s="6">
        <f>Referencias!F62</f>
        <v>0</v>
      </c>
      <c r="D12" s="6">
        <f t="shared" si="0"/>
        <v>0</v>
      </c>
    </row>
    <row r="13" spans="1:7" ht="15.75" customHeight="1">
      <c r="A13" s="12" t="str">
        <f>Referencias!B13</f>
        <v>Desgaste Agenda</v>
      </c>
      <c r="B13" s="13">
        <v>1</v>
      </c>
      <c r="C13" s="6">
        <f>Referencias!F13</f>
        <v>1</v>
      </c>
      <c r="D13" s="6">
        <f t="shared" si="0"/>
        <v>1</v>
      </c>
    </row>
    <row r="14" spans="1:7" ht="15.75" customHeight="1">
      <c r="A14" s="12" t="str">
        <f>Referencias!B17</f>
        <v>Embalagem Padrão</v>
      </c>
      <c r="B14" s="13">
        <v>1</v>
      </c>
      <c r="C14" s="6">
        <f>Referencias!F17</f>
        <v>1.5</v>
      </c>
      <c r="D14" s="6">
        <f t="shared" si="0"/>
        <v>1.5</v>
      </c>
    </row>
    <row r="15" spans="1:7" ht="15.75" customHeight="1">
      <c r="A15" s="2" t="s">
        <v>312</v>
      </c>
      <c r="B15" s="12"/>
      <c r="C15" s="6"/>
      <c r="D15" s="3">
        <f>SUM(D2:D14)</f>
        <v>22.83</v>
      </c>
    </row>
    <row r="16" spans="1:7" ht="15.75" customHeight="1">
      <c r="A16" s="2" t="s">
        <v>313</v>
      </c>
      <c r="B16" s="15">
        <v>0.55000000000000004</v>
      </c>
      <c r="C16" s="6">
        <f>D15*B16</f>
        <v>12.5565</v>
      </c>
      <c r="D16" s="3">
        <f>D15+C16</f>
        <v>35.386499999999998</v>
      </c>
      <c r="E16" s="92"/>
      <c r="F16" s="93"/>
      <c r="G16" s="93"/>
    </row>
    <row r="17" spans="1:7" ht="15.75" customHeight="1">
      <c r="A17" s="2" t="s">
        <v>314</v>
      </c>
      <c r="B17" s="29" t="s">
        <v>322</v>
      </c>
      <c r="C17" s="36"/>
      <c r="D17" s="10"/>
      <c r="E17" s="7"/>
      <c r="F17" s="7"/>
      <c r="G17" s="7"/>
    </row>
    <row r="18" spans="1:7" ht="15.75" customHeight="1">
      <c r="A18" s="2" t="s">
        <v>315</v>
      </c>
      <c r="B18" s="37">
        <v>55</v>
      </c>
      <c r="C18" s="36"/>
      <c r="D18" s="3">
        <v>40</v>
      </c>
      <c r="E18" s="16"/>
      <c r="F18" s="16"/>
      <c r="G18" s="16"/>
    </row>
    <row r="20" spans="1:7" ht="15.75" customHeight="1">
      <c r="A20" s="89" t="s">
        <v>324</v>
      </c>
      <c r="B20" s="90"/>
      <c r="C20" s="91"/>
      <c r="D20" s="3">
        <v>30</v>
      </c>
    </row>
    <row r="21" spans="1:7" ht="15.75" customHeight="1">
      <c r="A21" s="12" t="str">
        <f>Referencias!B58</f>
        <v>Papelão 16x22</v>
      </c>
      <c r="B21" s="13">
        <v>2</v>
      </c>
      <c r="C21" s="6">
        <f>Referencias!F58</f>
        <v>1.5</v>
      </c>
      <c r="D21" s="6">
        <f t="shared" ref="D21:D33" si="1">B21*C21</f>
        <v>3</v>
      </c>
    </row>
    <row r="22" spans="1:7" ht="15.75" customHeight="1">
      <c r="A22" s="12" t="str">
        <f>Referencias!B53</f>
        <v>Papel fotografico A4</v>
      </c>
      <c r="B22" s="13">
        <v>2</v>
      </c>
      <c r="C22" s="6">
        <f>Referencias!F53</f>
        <v>0.8</v>
      </c>
      <c r="D22" s="6">
        <f t="shared" si="1"/>
        <v>1.6</v>
      </c>
    </row>
    <row r="23" spans="1:7" ht="15.75" customHeight="1">
      <c r="A23" s="12" t="str">
        <f>Referencias!B31</f>
        <v>bopp</v>
      </c>
      <c r="B23" s="13">
        <f>0.3*2</f>
        <v>0.6</v>
      </c>
      <c r="C23" s="6">
        <f>Referencias!F31</f>
        <v>0.45</v>
      </c>
      <c r="D23" s="6">
        <f t="shared" si="1"/>
        <v>0.27</v>
      </c>
    </row>
    <row r="24" spans="1:7" ht="15.75" customHeight="1">
      <c r="A24" s="12" t="str">
        <f>Referencias!B48</f>
        <v>Papel guarda 15,5x21,5 offset adesivo</v>
      </c>
      <c r="B24" s="13">
        <v>2</v>
      </c>
      <c r="C24" s="6">
        <f>Referencias!F48</f>
        <v>0.75</v>
      </c>
      <c r="D24" s="6">
        <f t="shared" si="1"/>
        <v>1.5</v>
      </c>
    </row>
    <row r="25" spans="1:7" ht="15.75" customHeight="1">
      <c r="A25" s="12" t="str">
        <f>Referencias!B45</f>
        <v>miolo 90gr A5</v>
      </c>
      <c r="B25" s="13">
        <v>57</v>
      </c>
      <c r="C25" s="6">
        <f>Referencias!F45</f>
        <v>0.05</v>
      </c>
      <c r="D25" s="6">
        <f t="shared" si="1"/>
        <v>2.85</v>
      </c>
    </row>
    <row r="26" spans="1:7" ht="15.75" customHeight="1">
      <c r="A26" s="12" t="str">
        <f>Referencias!B34</f>
        <v>Bolso  offset 180gr</v>
      </c>
      <c r="B26" s="13">
        <v>1</v>
      </c>
      <c r="C26" s="6">
        <f>Referencias!F34</f>
        <v>0.32</v>
      </c>
      <c r="D26" s="6">
        <f t="shared" si="1"/>
        <v>0.32</v>
      </c>
    </row>
    <row r="27" spans="1:7" ht="15.75" customHeight="1">
      <c r="A27" s="12" t="str">
        <f>Referencias!B69</f>
        <v>Espiral 20mm</v>
      </c>
      <c r="B27" s="13">
        <v>1</v>
      </c>
      <c r="C27" s="6">
        <f>Referencias!F69</f>
        <v>0.64</v>
      </c>
      <c r="D27" s="6">
        <f t="shared" si="1"/>
        <v>0.64</v>
      </c>
    </row>
    <row r="28" spans="1:7" ht="15.75" customHeight="1">
      <c r="A28" s="12" t="str">
        <f>Referencias!B22</f>
        <v>Impressao Capa A4</v>
      </c>
      <c r="B28" s="13">
        <v>2</v>
      </c>
      <c r="C28" s="6">
        <f>Referencias!F22</f>
        <v>0.5</v>
      </c>
      <c r="D28" s="6">
        <f t="shared" si="1"/>
        <v>1</v>
      </c>
    </row>
    <row r="29" spans="1:7" ht="15.75" customHeight="1">
      <c r="A29" s="12" t="str">
        <f>Referencias!B29</f>
        <v>Impressao Miolo Frente Verso A5</v>
      </c>
      <c r="B29" s="13">
        <v>57</v>
      </c>
      <c r="C29" s="6">
        <f>Referencias!F29</f>
        <v>0.06</v>
      </c>
      <c r="D29" s="6">
        <f t="shared" si="1"/>
        <v>3.42</v>
      </c>
    </row>
    <row r="30" spans="1:7" ht="15.75" customHeight="1">
      <c r="A30" s="12" t="str">
        <f>Referencias!B21</f>
        <v>Impressao Bolso A4</v>
      </c>
      <c r="B30" s="13">
        <v>1</v>
      </c>
      <c r="C30" s="6">
        <f>Referencias!F21</f>
        <v>1</v>
      </c>
      <c r="D30" s="6">
        <f t="shared" si="1"/>
        <v>1</v>
      </c>
    </row>
    <row r="31" spans="1:7" ht="15.75" customHeight="1">
      <c r="A31" s="12" t="str">
        <f>Referencias!B62</f>
        <v>Frete</v>
      </c>
      <c r="B31" s="12"/>
      <c r="C31" s="6">
        <f>Referencias!F62</f>
        <v>0</v>
      </c>
      <c r="D31" s="6">
        <f t="shared" si="1"/>
        <v>0</v>
      </c>
    </row>
    <row r="32" spans="1:7" ht="15.75" customHeight="1">
      <c r="A32" s="12" t="str">
        <f>Referencias!B13</f>
        <v>Desgaste Agenda</v>
      </c>
      <c r="B32" s="13">
        <v>1</v>
      </c>
      <c r="C32" s="6">
        <f>Referencias!F13</f>
        <v>1</v>
      </c>
      <c r="D32" s="6">
        <f t="shared" si="1"/>
        <v>1</v>
      </c>
    </row>
    <row r="33" spans="1:7" ht="15.75" customHeight="1">
      <c r="A33" s="12" t="str">
        <f>Referencias!B17</f>
        <v>Embalagem Padrão</v>
      </c>
      <c r="B33" s="13">
        <v>1</v>
      </c>
      <c r="C33" s="6">
        <f>Referencias!F17</f>
        <v>1.5</v>
      </c>
      <c r="D33" s="6">
        <f t="shared" si="1"/>
        <v>1.5</v>
      </c>
    </row>
    <row r="34" spans="1:7" ht="15.75" customHeight="1">
      <c r="A34" s="2" t="s">
        <v>312</v>
      </c>
      <c r="B34" s="12"/>
      <c r="C34" s="6"/>
      <c r="D34" s="3">
        <f>SUM(D21:D33)</f>
        <v>18.100000000000001</v>
      </c>
    </row>
    <row r="35" spans="1:7" ht="15.75" customHeight="1">
      <c r="A35" s="2" t="s">
        <v>313</v>
      </c>
      <c r="B35" s="15">
        <v>0.55000000000000004</v>
      </c>
      <c r="C35" s="6">
        <f>D34*B35</f>
        <v>9.9550000000000018</v>
      </c>
      <c r="D35" s="3">
        <f>D34+C35</f>
        <v>28.055000000000003</v>
      </c>
      <c r="E35" s="92"/>
      <c r="F35" s="93"/>
      <c r="G35" s="93"/>
    </row>
    <row r="36" spans="1:7" ht="15.75" customHeight="1">
      <c r="A36" s="2" t="s">
        <v>314</v>
      </c>
      <c r="B36" s="29" t="s">
        <v>322</v>
      </c>
      <c r="C36" s="10"/>
      <c r="D36" s="10"/>
      <c r="E36" s="7"/>
      <c r="F36" s="7"/>
      <c r="G36" s="7"/>
    </row>
    <row r="37" spans="1:7" ht="15">
      <c r="A37" s="2" t="s">
        <v>315</v>
      </c>
      <c r="B37" s="37">
        <v>39</v>
      </c>
      <c r="C37" s="10"/>
      <c r="D37" s="3">
        <v>30</v>
      </c>
      <c r="E37" s="16"/>
      <c r="F37" s="16"/>
      <c r="G37" s="16"/>
    </row>
    <row r="39" spans="1:7" ht="15">
      <c r="A39" s="89" t="s">
        <v>419</v>
      </c>
      <c r="B39" s="90"/>
      <c r="C39" s="91"/>
      <c r="D39" s="23">
        <v>40</v>
      </c>
      <c r="E39" s="18"/>
      <c r="F39" s="18"/>
    </row>
    <row r="40" spans="1:7" ht="15">
      <c r="A40" s="19" t="str">
        <f>Referencias!B58</f>
        <v>Papelão 16x22</v>
      </c>
      <c r="B40" s="26">
        <v>2</v>
      </c>
      <c r="C40" s="6">
        <f>Referencias!F58</f>
        <v>1.5</v>
      </c>
      <c r="D40" s="21">
        <f t="shared" ref="D40:D52" si="2">B40*C40</f>
        <v>3</v>
      </c>
      <c r="E40" s="18"/>
      <c r="F40" s="18"/>
      <c r="G40" s="18"/>
    </row>
    <row r="41" spans="1:7" ht="15">
      <c r="A41" s="19" t="str">
        <f>Referencias!B53</f>
        <v>Papel fotografico A4</v>
      </c>
      <c r="B41" s="26">
        <v>2</v>
      </c>
      <c r="C41" s="6">
        <f>Referencias!F53</f>
        <v>0.8</v>
      </c>
      <c r="D41" s="21">
        <f t="shared" si="2"/>
        <v>1.6</v>
      </c>
      <c r="E41" s="18"/>
      <c r="F41" s="18"/>
      <c r="G41" s="18"/>
    </row>
    <row r="42" spans="1:7" ht="15">
      <c r="A42" s="19" t="str">
        <f>Referencias!B31</f>
        <v>bopp</v>
      </c>
      <c r="B42" s="13">
        <f>0.3*2</f>
        <v>0.6</v>
      </c>
      <c r="C42" s="6">
        <f>Referencias!F31</f>
        <v>0.45</v>
      </c>
      <c r="D42" s="21">
        <f t="shared" si="2"/>
        <v>0.27</v>
      </c>
      <c r="E42" s="18"/>
      <c r="F42" s="18"/>
      <c r="G42" s="18"/>
    </row>
    <row r="43" spans="1:7" ht="15">
      <c r="A43" s="19" t="str">
        <f>Referencias!B48</f>
        <v>Papel guarda 15,5x21,5 offset adesivo</v>
      </c>
      <c r="B43" s="26">
        <v>2</v>
      </c>
      <c r="C43" s="6">
        <f>Referencias!F48</f>
        <v>0.75</v>
      </c>
      <c r="D43" s="21">
        <f t="shared" si="2"/>
        <v>1.5</v>
      </c>
      <c r="E43" s="18"/>
      <c r="F43" s="18"/>
      <c r="G43" s="18"/>
    </row>
    <row r="44" spans="1:7" ht="15">
      <c r="A44" s="12" t="str">
        <f>Referencias!B40</f>
        <v>miolo 75gr A5</v>
      </c>
      <c r="B44" s="26">
        <v>130</v>
      </c>
      <c r="C44" s="6">
        <f>Referencias!F40</f>
        <v>0.03</v>
      </c>
      <c r="D44" s="21">
        <f t="shared" si="2"/>
        <v>3.9</v>
      </c>
      <c r="E44" s="18"/>
      <c r="F44" s="18"/>
      <c r="G44" s="18"/>
    </row>
    <row r="45" spans="1:7" ht="15">
      <c r="A45" s="19" t="str">
        <f>Referencias!B34</f>
        <v>Bolso  offset 180gr</v>
      </c>
      <c r="B45" s="26">
        <v>1</v>
      </c>
      <c r="C45" s="6">
        <f>Referencias!F34</f>
        <v>0.32</v>
      </c>
      <c r="D45" s="21">
        <f t="shared" si="2"/>
        <v>0.32</v>
      </c>
      <c r="E45" s="18"/>
      <c r="F45" s="18"/>
      <c r="G45" s="18"/>
    </row>
    <row r="46" spans="1:7" ht="15">
      <c r="A46" s="19" t="str">
        <f>Referencias!B19</f>
        <v>Espiral 29mm</v>
      </c>
      <c r="B46" s="26">
        <v>1</v>
      </c>
      <c r="C46" s="6">
        <f>Referencias!F19</f>
        <v>1.83</v>
      </c>
      <c r="D46" s="6">
        <f t="shared" si="2"/>
        <v>1.83</v>
      </c>
      <c r="E46" s="18"/>
      <c r="F46" s="18"/>
      <c r="G46" s="18"/>
    </row>
    <row r="47" spans="1:7" ht="15">
      <c r="A47" s="19" t="str">
        <f>Referencias!B22</f>
        <v>Impressao Capa A4</v>
      </c>
      <c r="B47" s="26">
        <v>2</v>
      </c>
      <c r="C47" s="6">
        <f>Referencias!F22</f>
        <v>0.5</v>
      </c>
      <c r="D47" s="21">
        <f t="shared" si="2"/>
        <v>1</v>
      </c>
      <c r="E47" s="18"/>
      <c r="F47" s="18"/>
      <c r="G47" s="18"/>
    </row>
    <row r="48" spans="1:7" ht="15">
      <c r="A48" s="19" t="str">
        <f>Referencias!B29</f>
        <v>Impressao Miolo Frente Verso A5</v>
      </c>
      <c r="B48" s="26">
        <v>130</v>
      </c>
      <c r="C48" s="6">
        <f>Referencias!F29</f>
        <v>0.06</v>
      </c>
      <c r="D48" s="21">
        <f t="shared" si="2"/>
        <v>7.8</v>
      </c>
      <c r="E48" s="18"/>
      <c r="F48" s="18"/>
      <c r="G48" s="18"/>
    </row>
    <row r="49" spans="1:7" ht="15">
      <c r="A49" s="19" t="str">
        <f>Referencias!B21</f>
        <v>Impressao Bolso A4</v>
      </c>
      <c r="B49" s="26">
        <v>1</v>
      </c>
      <c r="C49" s="6">
        <f>Referencias!F21</f>
        <v>1</v>
      </c>
      <c r="D49" s="21">
        <f t="shared" si="2"/>
        <v>1</v>
      </c>
      <c r="E49" s="18"/>
      <c r="F49" s="18"/>
      <c r="G49" s="18"/>
    </row>
    <row r="50" spans="1:7" ht="15">
      <c r="A50" s="19" t="str">
        <f>Referencias!B62</f>
        <v>Frete</v>
      </c>
      <c r="B50" s="27"/>
      <c r="C50" s="28">
        <f>Referencias!F62</f>
        <v>0</v>
      </c>
      <c r="D50" s="21">
        <f t="shared" si="2"/>
        <v>0</v>
      </c>
      <c r="E50" s="18"/>
      <c r="F50" s="18"/>
      <c r="G50" s="18"/>
    </row>
    <row r="51" spans="1:7" ht="15">
      <c r="A51" s="19" t="str">
        <f>Referencias!B13</f>
        <v>Desgaste Agenda</v>
      </c>
      <c r="B51" s="26">
        <v>1</v>
      </c>
      <c r="C51" s="6">
        <f>Referencias!F13</f>
        <v>1</v>
      </c>
      <c r="D51" s="21">
        <f t="shared" si="2"/>
        <v>1</v>
      </c>
      <c r="E51" s="18"/>
      <c r="F51" s="18"/>
      <c r="G51" s="18"/>
    </row>
    <row r="52" spans="1:7" ht="15">
      <c r="A52" s="19" t="str">
        <f>Referencias!B17</f>
        <v>Embalagem Padrão</v>
      </c>
      <c r="B52" s="26">
        <v>1</v>
      </c>
      <c r="C52" s="6">
        <f>Referencias!F17</f>
        <v>1.5</v>
      </c>
      <c r="D52" s="21">
        <f t="shared" si="2"/>
        <v>1.5</v>
      </c>
      <c r="E52" s="18"/>
      <c r="F52" s="18"/>
      <c r="G52" s="18"/>
    </row>
    <row r="53" spans="1:7" ht="15">
      <c r="A53" s="22" t="s">
        <v>312</v>
      </c>
      <c r="B53" s="27"/>
      <c r="C53" s="28"/>
      <c r="D53" s="23">
        <f>SUM(D40:D52)</f>
        <v>24.72</v>
      </c>
      <c r="E53" s="18"/>
      <c r="F53" s="18"/>
      <c r="G53" s="18"/>
    </row>
    <row r="54" spans="1:7" ht="15">
      <c r="A54" s="22" t="s">
        <v>313</v>
      </c>
      <c r="B54" s="24">
        <v>0.55000000000000004</v>
      </c>
      <c r="C54" s="21">
        <f>D53*B54</f>
        <v>13.596</v>
      </c>
      <c r="D54" s="23">
        <f>D53+C54</f>
        <v>38.316000000000003</v>
      </c>
      <c r="E54" s="92"/>
      <c r="F54" s="93"/>
      <c r="G54" s="93"/>
    </row>
    <row r="55" spans="1:7" ht="15">
      <c r="A55" s="22" t="s">
        <v>314</v>
      </c>
      <c r="B55" s="19"/>
      <c r="C55" s="27"/>
      <c r="D55" s="27"/>
      <c r="E55" s="7"/>
      <c r="F55" s="7"/>
      <c r="G55" s="7"/>
    </row>
    <row r="56" spans="1:7" ht="15">
      <c r="A56" s="22" t="s">
        <v>315</v>
      </c>
      <c r="B56" s="38"/>
      <c r="C56" s="27"/>
      <c r="D56" s="23">
        <v>40</v>
      </c>
      <c r="E56" s="16"/>
      <c r="F56" s="16"/>
      <c r="G56" s="16"/>
    </row>
    <row r="58" spans="1:7" ht="15">
      <c r="A58" s="89" t="s">
        <v>326</v>
      </c>
      <c r="B58" s="90"/>
      <c r="C58" s="91"/>
      <c r="D58" s="23">
        <v>35</v>
      </c>
      <c r="E58" s="18"/>
      <c r="F58" s="18"/>
    </row>
    <row r="59" spans="1:7" ht="15">
      <c r="A59" s="19" t="str">
        <f>Referencias!B58</f>
        <v>Papelão 16x22</v>
      </c>
      <c r="B59" s="26">
        <v>2</v>
      </c>
      <c r="C59" s="6">
        <f>Referencias!F58</f>
        <v>1.5</v>
      </c>
      <c r="D59" s="21">
        <f t="shared" ref="D59:D71" si="3">B59*C59</f>
        <v>3</v>
      </c>
      <c r="E59" s="18"/>
      <c r="F59" s="18"/>
      <c r="G59" s="18"/>
    </row>
    <row r="60" spans="1:7" ht="15">
      <c r="A60" s="19" t="str">
        <f>Referencias!B53</f>
        <v>Papel fotografico A4</v>
      </c>
      <c r="B60" s="26">
        <v>2</v>
      </c>
      <c r="C60" s="6">
        <f>Referencias!F53</f>
        <v>0.8</v>
      </c>
      <c r="D60" s="21">
        <f t="shared" si="3"/>
        <v>1.6</v>
      </c>
      <c r="E60" s="18"/>
      <c r="F60" s="18"/>
      <c r="G60" s="18"/>
    </row>
    <row r="61" spans="1:7" ht="15">
      <c r="A61" s="19" t="str">
        <f>Referencias!B31</f>
        <v>bopp</v>
      </c>
      <c r="B61" s="13">
        <f>0.3*2</f>
        <v>0.6</v>
      </c>
      <c r="C61" s="6">
        <f>Referencias!F31</f>
        <v>0.45</v>
      </c>
      <c r="D61" s="21">
        <f t="shared" si="3"/>
        <v>0.27</v>
      </c>
      <c r="E61" s="18"/>
      <c r="F61" s="18"/>
      <c r="G61" s="18"/>
    </row>
    <row r="62" spans="1:7" ht="15">
      <c r="A62" s="19" t="str">
        <f>Referencias!B48</f>
        <v>Papel guarda 15,5x21,5 offset adesivo</v>
      </c>
      <c r="B62" s="26">
        <v>2</v>
      </c>
      <c r="C62" s="6">
        <f>Referencias!F48</f>
        <v>0.75</v>
      </c>
      <c r="D62" s="21">
        <f t="shared" si="3"/>
        <v>1.5</v>
      </c>
      <c r="E62" s="18"/>
      <c r="F62" s="18"/>
      <c r="G62" s="18"/>
    </row>
    <row r="63" spans="1:7" ht="15">
      <c r="A63" s="19" t="str">
        <f>Referencias!B45</f>
        <v>miolo 90gr A5</v>
      </c>
      <c r="B63" s="26">
        <v>61</v>
      </c>
      <c r="C63" s="21">
        <f>Referencias!F45</f>
        <v>0.05</v>
      </c>
      <c r="D63" s="21">
        <f t="shared" si="3"/>
        <v>3.0500000000000003</v>
      </c>
      <c r="E63" s="18"/>
      <c r="F63" s="18"/>
      <c r="G63" s="18"/>
    </row>
    <row r="64" spans="1:7" ht="15">
      <c r="A64" s="19" t="str">
        <f>Referencias!B34</f>
        <v>Bolso  offset 180gr</v>
      </c>
      <c r="B64" s="26">
        <v>1</v>
      </c>
      <c r="C64" s="6">
        <f>Referencias!F34</f>
        <v>0.32</v>
      </c>
      <c r="D64" s="21">
        <f t="shared" si="3"/>
        <v>0.32</v>
      </c>
      <c r="E64" s="18"/>
      <c r="F64" s="18"/>
      <c r="G64" s="18"/>
    </row>
    <row r="65" spans="1:7" ht="15">
      <c r="A65" s="19" t="str">
        <f>Referencias!B69</f>
        <v>Espiral 20mm</v>
      </c>
      <c r="B65" s="26">
        <v>1</v>
      </c>
      <c r="C65" s="21">
        <f>Referencias!F69</f>
        <v>0.64</v>
      </c>
      <c r="D65" s="21">
        <f t="shared" si="3"/>
        <v>0.64</v>
      </c>
      <c r="E65" s="18"/>
      <c r="F65" s="18"/>
      <c r="G65" s="18"/>
    </row>
    <row r="66" spans="1:7" ht="15">
      <c r="A66" s="19" t="str">
        <f>Referencias!B22</f>
        <v>Impressao Capa A4</v>
      </c>
      <c r="B66" s="26">
        <v>2</v>
      </c>
      <c r="C66" s="6">
        <f>Referencias!F22</f>
        <v>0.5</v>
      </c>
      <c r="D66" s="21">
        <f t="shared" si="3"/>
        <v>1</v>
      </c>
      <c r="E66" s="18"/>
      <c r="F66" s="18"/>
      <c r="G66" s="18"/>
    </row>
    <row r="67" spans="1:7" ht="15">
      <c r="A67" s="19" t="str">
        <f>Referencias!B29</f>
        <v>Impressao Miolo Frente Verso A5</v>
      </c>
      <c r="B67" s="26">
        <v>61</v>
      </c>
      <c r="C67" s="6">
        <f>Referencias!F29</f>
        <v>0.06</v>
      </c>
      <c r="D67" s="21">
        <f t="shared" si="3"/>
        <v>3.6599999999999997</v>
      </c>
      <c r="E67" s="18"/>
      <c r="F67" s="18"/>
      <c r="G67" s="18"/>
    </row>
    <row r="68" spans="1:7" ht="15">
      <c r="A68" s="19" t="str">
        <f>Referencias!B21</f>
        <v>Impressao Bolso A4</v>
      </c>
      <c r="B68" s="26">
        <v>1</v>
      </c>
      <c r="C68" s="6">
        <f>Referencias!F21</f>
        <v>1</v>
      </c>
      <c r="D68" s="21">
        <f t="shared" si="3"/>
        <v>1</v>
      </c>
      <c r="E68" s="18"/>
      <c r="F68" s="18"/>
      <c r="G68" s="18"/>
    </row>
    <row r="69" spans="1:7" ht="15">
      <c r="A69" s="19" t="str">
        <f>Referencias!B62</f>
        <v>Frete</v>
      </c>
      <c r="B69" s="27"/>
      <c r="C69" s="28">
        <f>Referencias!F62</f>
        <v>0</v>
      </c>
      <c r="D69" s="21">
        <f t="shared" si="3"/>
        <v>0</v>
      </c>
      <c r="E69" s="18"/>
      <c r="F69" s="18"/>
      <c r="G69" s="18"/>
    </row>
    <row r="70" spans="1:7" ht="15">
      <c r="A70" s="19" t="str">
        <f>Referencias!B16</f>
        <v>Desgaste Planner/Album/Caderno Universitario</v>
      </c>
      <c r="B70" s="26">
        <v>1</v>
      </c>
      <c r="C70" s="6">
        <f>Referencias!F16</f>
        <v>3</v>
      </c>
      <c r="D70" s="21">
        <f t="shared" si="3"/>
        <v>3</v>
      </c>
      <c r="E70" s="18"/>
      <c r="F70" s="18"/>
      <c r="G70" s="18"/>
    </row>
    <row r="71" spans="1:7" ht="15">
      <c r="A71" s="19" t="str">
        <f>Referencias!B17</f>
        <v>Embalagem Padrão</v>
      </c>
      <c r="B71" s="26">
        <v>1</v>
      </c>
      <c r="C71" s="6">
        <f>Referencias!F17</f>
        <v>1.5</v>
      </c>
      <c r="D71" s="21">
        <f t="shared" si="3"/>
        <v>1.5</v>
      </c>
      <c r="E71" s="18"/>
      <c r="F71" s="18"/>
      <c r="G71" s="18"/>
    </row>
    <row r="72" spans="1:7" ht="15">
      <c r="A72" s="22" t="s">
        <v>312</v>
      </c>
      <c r="B72" s="27"/>
      <c r="C72" s="28"/>
      <c r="D72" s="23">
        <f>SUM(D59:D71)</f>
        <v>20.54</v>
      </c>
      <c r="E72" s="18"/>
      <c r="F72" s="18"/>
      <c r="G72" s="18"/>
    </row>
    <row r="73" spans="1:7" ht="15">
      <c r="A73" s="22" t="s">
        <v>313</v>
      </c>
      <c r="B73" s="24">
        <v>0.55000000000000004</v>
      </c>
      <c r="C73" s="21">
        <f>D72*B73</f>
        <v>11.297000000000001</v>
      </c>
      <c r="D73" s="23">
        <f>D72+C73</f>
        <v>31.837</v>
      </c>
      <c r="E73" s="92"/>
      <c r="F73" s="93"/>
      <c r="G73" s="93"/>
    </row>
    <row r="74" spans="1:7" ht="15">
      <c r="A74" s="22" t="s">
        <v>314</v>
      </c>
      <c r="B74" s="19" t="s">
        <v>322</v>
      </c>
      <c r="C74" s="27"/>
      <c r="D74" s="27"/>
      <c r="E74" s="7"/>
      <c r="F74" s="7"/>
      <c r="G74" s="7"/>
    </row>
    <row r="75" spans="1:7" ht="15">
      <c r="A75" s="22" t="s">
        <v>315</v>
      </c>
      <c r="B75" s="38">
        <v>42.9</v>
      </c>
      <c r="C75" s="27"/>
      <c r="D75" s="23">
        <v>35</v>
      </c>
      <c r="E75" s="16"/>
      <c r="F75" s="16"/>
      <c r="G75" s="16"/>
    </row>
    <row r="77" spans="1:7" ht="15">
      <c r="A77" s="89" t="s">
        <v>327</v>
      </c>
      <c r="B77" s="90"/>
      <c r="C77" s="91"/>
      <c r="D77" s="23">
        <v>35</v>
      </c>
      <c r="E77" s="18"/>
      <c r="F77" s="18"/>
    </row>
    <row r="78" spans="1:7" ht="15">
      <c r="A78" s="19" t="str">
        <f>Referencias!B58</f>
        <v>Papelão 16x22</v>
      </c>
      <c r="B78" s="26">
        <v>2</v>
      </c>
      <c r="C78" s="6">
        <f>Referencias!F58</f>
        <v>1.5</v>
      </c>
      <c r="D78" s="21">
        <f t="shared" ref="D78:D88" si="4">B78*C78</f>
        <v>3</v>
      </c>
      <c r="E78" s="18"/>
      <c r="F78" s="18"/>
      <c r="G78" s="18"/>
    </row>
    <row r="79" spans="1:7" ht="15">
      <c r="A79" s="19" t="str">
        <f>Referencias!B53</f>
        <v>Papel fotografico A4</v>
      </c>
      <c r="B79" s="26">
        <v>2</v>
      </c>
      <c r="C79" s="6">
        <f>Referencias!F53</f>
        <v>0.8</v>
      </c>
      <c r="D79" s="21">
        <f t="shared" si="4"/>
        <v>1.6</v>
      </c>
      <c r="E79" s="18"/>
      <c r="F79" s="18"/>
      <c r="G79" s="18"/>
    </row>
    <row r="80" spans="1:7" ht="15">
      <c r="A80" s="19" t="str">
        <f>Referencias!B31</f>
        <v>bopp</v>
      </c>
      <c r="B80" s="13">
        <f>0.3*2</f>
        <v>0.6</v>
      </c>
      <c r="C80" s="6">
        <f>Referencias!F31</f>
        <v>0.45</v>
      </c>
      <c r="D80" s="21">
        <f t="shared" si="4"/>
        <v>0.27</v>
      </c>
      <c r="E80" s="18"/>
      <c r="F80" s="18"/>
      <c r="G80" s="18"/>
    </row>
    <row r="81" spans="1:7" ht="15">
      <c r="A81" s="19" t="str">
        <f>Referencias!B48</f>
        <v>Papel guarda 15,5x21,5 offset adesivo</v>
      </c>
      <c r="B81" s="26">
        <v>2</v>
      </c>
      <c r="C81" s="6">
        <f>Referencias!F48</f>
        <v>0.75</v>
      </c>
      <c r="D81" s="21">
        <f t="shared" si="4"/>
        <v>1.5</v>
      </c>
      <c r="E81" s="18"/>
      <c r="F81" s="18"/>
      <c r="G81" s="18"/>
    </row>
    <row r="82" spans="1:7" ht="15">
      <c r="A82" s="19" t="str">
        <f>Referencias!B40</f>
        <v>miolo 75gr A5</v>
      </c>
      <c r="B82" s="26">
        <v>80</v>
      </c>
      <c r="C82" s="6">
        <f>Referencias!F40</f>
        <v>0.03</v>
      </c>
      <c r="D82" s="6">
        <f t="shared" si="4"/>
        <v>2.4</v>
      </c>
      <c r="E82" s="18"/>
      <c r="F82" s="18"/>
      <c r="G82" s="18"/>
    </row>
    <row r="83" spans="1:7" ht="15">
      <c r="A83" s="19" t="str">
        <f>Referencias!B69</f>
        <v>Espiral 20mm</v>
      </c>
      <c r="B83" s="26">
        <v>1</v>
      </c>
      <c r="C83" s="21">
        <f>Referencias!F69</f>
        <v>0.64</v>
      </c>
      <c r="D83" s="21">
        <f t="shared" si="4"/>
        <v>0.64</v>
      </c>
      <c r="E83" s="18"/>
      <c r="F83" s="18"/>
      <c r="G83" s="18"/>
    </row>
    <row r="84" spans="1:7" ht="15">
      <c r="A84" s="19" t="str">
        <f>Referencias!B22</f>
        <v>Impressao Capa A4</v>
      </c>
      <c r="B84" s="26">
        <v>2</v>
      </c>
      <c r="C84" s="6">
        <f>Referencias!F22</f>
        <v>0.5</v>
      </c>
      <c r="D84" s="21">
        <f t="shared" si="4"/>
        <v>1</v>
      </c>
      <c r="E84" s="18"/>
      <c r="F84" s="18"/>
      <c r="G84" s="18"/>
    </row>
    <row r="85" spans="1:7" ht="15">
      <c r="A85" s="19" t="str">
        <f>Referencias!B29</f>
        <v>Impressao Miolo Frente Verso A5</v>
      </c>
      <c r="B85" s="26">
        <v>80</v>
      </c>
      <c r="C85" s="6">
        <f>Referencias!F29</f>
        <v>0.06</v>
      </c>
      <c r="D85" s="21">
        <f t="shared" si="4"/>
        <v>4.8</v>
      </c>
      <c r="E85" s="18"/>
      <c r="F85" s="18"/>
      <c r="G85" s="18"/>
    </row>
    <row r="86" spans="1:7" ht="15">
      <c r="A86" s="19" t="str">
        <f>Referencias!B62</f>
        <v>Frete</v>
      </c>
      <c r="B86" s="27"/>
      <c r="C86" s="28">
        <f>Referencias!F62</f>
        <v>0</v>
      </c>
      <c r="D86" s="21">
        <f t="shared" si="4"/>
        <v>0</v>
      </c>
      <c r="E86" s="18"/>
      <c r="F86" s="18"/>
      <c r="G86" s="18"/>
    </row>
    <row r="87" spans="1:7" ht="15">
      <c r="A87" s="19" t="str">
        <f>Referencias!B15</f>
        <v>Desgaste Caderno A5</v>
      </c>
      <c r="B87" s="26">
        <v>1</v>
      </c>
      <c r="C87" s="6">
        <f>Referencias!F15</f>
        <v>2</v>
      </c>
      <c r="D87" s="21">
        <f t="shared" si="4"/>
        <v>2</v>
      </c>
      <c r="E87" s="18"/>
      <c r="F87" s="18"/>
      <c r="G87" s="18"/>
    </row>
    <row r="88" spans="1:7" ht="15">
      <c r="A88" s="19" t="str">
        <f>Referencias!B17</f>
        <v>Embalagem Padrão</v>
      </c>
      <c r="B88" s="26">
        <v>1</v>
      </c>
      <c r="C88" s="6">
        <f>Referencias!F17</f>
        <v>1.5</v>
      </c>
      <c r="D88" s="21">
        <f t="shared" si="4"/>
        <v>1.5</v>
      </c>
      <c r="E88" s="18"/>
      <c r="F88" s="18"/>
      <c r="G88" s="18"/>
    </row>
    <row r="89" spans="1:7" ht="15">
      <c r="A89" s="22" t="s">
        <v>312</v>
      </c>
      <c r="B89" s="27"/>
      <c r="C89" s="28"/>
      <c r="D89" s="23">
        <f>SUM(D78:D88)</f>
        <v>18.71</v>
      </c>
      <c r="E89" s="18"/>
      <c r="F89" s="18"/>
      <c r="G89" s="18"/>
    </row>
    <row r="90" spans="1:7" ht="15">
      <c r="A90" s="22" t="s">
        <v>313</v>
      </c>
      <c r="B90" s="24">
        <v>0.55000000000000004</v>
      </c>
      <c r="C90" s="21">
        <f>D89*B90</f>
        <v>10.290500000000002</v>
      </c>
      <c r="D90" s="23">
        <f>D89+C90</f>
        <v>29.000500000000002</v>
      </c>
      <c r="E90" s="92"/>
      <c r="F90" s="93"/>
      <c r="G90" s="93"/>
    </row>
    <row r="91" spans="1:7" ht="15">
      <c r="A91" s="22" t="s">
        <v>314</v>
      </c>
      <c r="B91" s="29" t="s">
        <v>322</v>
      </c>
      <c r="C91" s="30"/>
      <c r="D91" s="27"/>
      <c r="E91" s="7"/>
      <c r="F91" s="7"/>
      <c r="G91" s="7"/>
    </row>
    <row r="92" spans="1:7" ht="15">
      <c r="A92" s="22" t="s">
        <v>315</v>
      </c>
      <c r="B92" s="32">
        <v>39</v>
      </c>
      <c r="C92" s="30"/>
      <c r="D92" s="23">
        <v>40</v>
      </c>
      <c r="E92" s="16"/>
      <c r="F92" s="16"/>
      <c r="G92" s="16"/>
    </row>
    <row r="94" spans="1:7" ht="15">
      <c r="A94" s="89" t="s">
        <v>455</v>
      </c>
      <c r="B94" s="90"/>
      <c r="C94" s="91"/>
      <c r="D94" s="23">
        <v>45</v>
      </c>
      <c r="E94" s="18"/>
      <c r="F94" s="18"/>
    </row>
    <row r="95" spans="1:7" ht="15">
      <c r="A95" s="19" t="str">
        <f>Referencias!B72</f>
        <v>Papelão 19x27</v>
      </c>
      <c r="B95" s="26">
        <v>2</v>
      </c>
      <c r="C95" s="6">
        <f>Referencias!F72</f>
        <v>1.5</v>
      </c>
      <c r="D95" s="21">
        <f t="shared" ref="D95:D105" si="5">B95*C95</f>
        <v>3</v>
      </c>
      <c r="E95" s="18"/>
      <c r="F95" s="18"/>
      <c r="G95" s="18"/>
    </row>
    <row r="96" spans="1:7" ht="15">
      <c r="A96" s="19" t="str">
        <f>Referencias!B53</f>
        <v>Papel fotografico A4</v>
      </c>
      <c r="B96" s="26">
        <v>2</v>
      </c>
      <c r="C96" s="6">
        <f>Referencias!F53</f>
        <v>0.8</v>
      </c>
      <c r="D96" s="21">
        <f t="shared" si="5"/>
        <v>1.6</v>
      </c>
      <c r="E96" s="18"/>
      <c r="F96" s="18"/>
      <c r="G96" s="18"/>
    </row>
    <row r="97" spans="1:7" ht="15">
      <c r="A97" s="19" t="str">
        <f>Referencias!B31</f>
        <v>bopp</v>
      </c>
      <c r="B97" s="13">
        <f>0.3*2</f>
        <v>0.6</v>
      </c>
      <c r="C97" s="6">
        <f>Referencias!F31</f>
        <v>0.45</v>
      </c>
      <c r="D97" s="21">
        <f t="shared" si="5"/>
        <v>0.27</v>
      </c>
      <c r="E97" s="18"/>
      <c r="F97" s="18"/>
      <c r="G97" s="18"/>
    </row>
    <row r="98" spans="1:7" ht="15">
      <c r="A98" s="19" t="str">
        <f>Referencias!B73</f>
        <v>Papel guarda 18,5x26,5 offset adesivo</v>
      </c>
      <c r="B98" s="26">
        <v>2</v>
      </c>
      <c r="C98" s="6">
        <f>Referencias!F73</f>
        <v>0.75</v>
      </c>
      <c r="D98" s="21">
        <f t="shared" si="5"/>
        <v>1.5</v>
      </c>
      <c r="E98" s="18"/>
      <c r="F98" s="18"/>
      <c r="G98" s="18"/>
    </row>
    <row r="99" spans="1:7" ht="15">
      <c r="A99" s="19" t="str">
        <f>Referencias!B74</f>
        <v>miolo 75gr 18x26</v>
      </c>
      <c r="B99" s="26">
        <v>80</v>
      </c>
      <c r="C99" s="6">
        <f>Referencias!F74</f>
        <v>0.06</v>
      </c>
      <c r="D99" s="6">
        <f t="shared" si="5"/>
        <v>4.8</v>
      </c>
      <c r="E99" s="18"/>
      <c r="F99" s="18"/>
      <c r="G99" s="18"/>
    </row>
    <row r="100" spans="1:7" ht="15">
      <c r="A100" s="19" t="str">
        <f>Referencias!B69</f>
        <v>Espiral 20mm</v>
      </c>
      <c r="B100" s="26">
        <v>1</v>
      </c>
      <c r="C100" s="21">
        <f>Referencias!F69</f>
        <v>0.64</v>
      </c>
      <c r="D100" s="21">
        <f t="shared" si="5"/>
        <v>0.64</v>
      </c>
      <c r="E100" s="18"/>
      <c r="F100" s="18"/>
      <c r="G100" s="18"/>
    </row>
    <row r="101" spans="1:7" ht="15">
      <c r="A101" s="19" t="str">
        <f>Referencias!B22</f>
        <v>Impressao Capa A4</v>
      </c>
      <c r="B101" s="26">
        <v>2</v>
      </c>
      <c r="C101" s="6">
        <f>Referencias!F22</f>
        <v>0.5</v>
      </c>
      <c r="D101" s="21">
        <f t="shared" si="5"/>
        <v>1</v>
      </c>
      <c r="E101" s="18"/>
      <c r="F101" s="18"/>
      <c r="G101" s="18"/>
    </row>
    <row r="102" spans="1:7" ht="15">
      <c r="A102" s="19" t="str">
        <f>Referencias!B28</f>
        <v>Impressao Miolo Frente Verso A4</v>
      </c>
      <c r="B102" s="26">
        <v>80</v>
      </c>
      <c r="C102" s="6">
        <f>Referencias!F28</f>
        <v>0.12</v>
      </c>
      <c r="D102" s="21">
        <f t="shared" si="5"/>
        <v>9.6</v>
      </c>
      <c r="E102" s="18"/>
      <c r="F102" s="18"/>
      <c r="G102" s="18"/>
    </row>
    <row r="103" spans="1:7" ht="15">
      <c r="A103" s="19" t="str">
        <f>Referencias!B62</f>
        <v>Frete</v>
      </c>
      <c r="B103" s="27"/>
      <c r="C103" s="28">
        <f>Referencias!F62</f>
        <v>0</v>
      </c>
      <c r="D103" s="21">
        <f t="shared" si="5"/>
        <v>0</v>
      </c>
      <c r="E103" s="18"/>
      <c r="F103" s="18"/>
      <c r="G103" s="18"/>
    </row>
    <row r="104" spans="1:7" ht="15">
      <c r="A104" s="19" t="str">
        <f>Referencias!B16</f>
        <v>Desgaste Planner/Album/Caderno Universitario</v>
      </c>
      <c r="B104" s="26">
        <v>1</v>
      </c>
      <c r="C104" s="6">
        <f>Referencias!F16</f>
        <v>3</v>
      </c>
      <c r="D104" s="21">
        <f t="shared" si="5"/>
        <v>3</v>
      </c>
      <c r="E104" s="18"/>
      <c r="F104" s="18"/>
      <c r="G104" s="18"/>
    </row>
    <row r="105" spans="1:7" ht="15">
      <c r="A105" s="19" t="str">
        <f>Referencias!B17</f>
        <v>Embalagem Padrão</v>
      </c>
      <c r="B105" s="26">
        <v>1</v>
      </c>
      <c r="C105" s="6">
        <f>Referencias!F17</f>
        <v>1.5</v>
      </c>
      <c r="D105" s="21">
        <f t="shared" si="5"/>
        <v>1.5</v>
      </c>
      <c r="E105" s="18"/>
      <c r="F105" s="18"/>
      <c r="G105" s="18"/>
    </row>
    <row r="106" spans="1:7" ht="15">
      <c r="A106" s="22" t="s">
        <v>312</v>
      </c>
      <c r="B106" s="27"/>
      <c r="C106" s="28"/>
      <c r="D106" s="23">
        <f>SUM(D95:D105)</f>
        <v>26.909999999999997</v>
      </c>
      <c r="E106" s="18"/>
      <c r="F106" s="18"/>
      <c r="G106" s="18"/>
    </row>
    <row r="107" spans="1:7" ht="15">
      <c r="A107" s="22" t="s">
        <v>313</v>
      </c>
      <c r="B107" s="24">
        <v>0.55000000000000004</v>
      </c>
      <c r="C107" s="21">
        <f>D106*B107</f>
        <v>14.8005</v>
      </c>
      <c r="D107" s="23">
        <f>D106+C107</f>
        <v>41.710499999999996</v>
      </c>
      <c r="E107" s="92"/>
      <c r="F107" s="93"/>
      <c r="G107" s="93"/>
    </row>
    <row r="108" spans="1:7" ht="15">
      <c r="A108" s="22" t="s">
        <v>314</v>
      </c>
      <c r="B108" s="29" t="s">
        <v>322</v>
      </c>
      <c r="C108" s="30"/>
      <c r="D108" s="27"/>
      <c r="E108" s="7"/>
      <c r="F108" s="7"/>
      <c r="G108" s="7"/>
    </row>
    <row r="109" spans="1:7" ht="15">
      <c r="A109" s="22" t="s">
        <v>315</v>
      </c>
      <c r="B109" s="32">
        <v>46.9</v>
      </c>
      <c r="C109" s="30"/>
      <c r="D109" s="23">
        <v>45</v>
      </c>
      <c r="E109" s="16"/>
      <c r="F109" s="16"/>
      <c r="G109" s="16"/>
    </row>
    <row r="111" spans="1:7" ht="15">
      <c r="A111" s="96" t="s">
        <v>456</v>
      </c>
      <c r="B111" s="90"/>
      <c r="C111" s="91"/>
      <c r="D111" s="23">
        <v>30</v>
      </c>
      <c r="E111" s="81"/>
      <c r="F111" s="31"/>
    </row>
    <row r="112" spans="1:7" ht="15">
      <c r="A112" s="12" t="str">
        <f>Referencias!B72</f>
        <v>Papelão 19x27</v>
      </c>
      <c r="B112" s="13">
        <v>1</v>
      </c>
      <c r="C112" s="6">
        <f>Referencias!F72</f>
        <v>1.5</v>
      </c>
      <c r="D112" s="21">
        <f t="shared" ref="D112:D120" si="6">B112*C112</f>
        <v>1.5</v>
      </c>
      <c r="E112" s="9"/>
      <c r="F112" s="31"/>
      <c r="G112" s="87"/>
    </row>
    <row r="113" spans="1:8" ht="15">
      <c r="A113" s="12" t="str">
        <f>Referencias!B53</f>
        <v>Papel fotografico A4</v>
      </c>
      <c r="B113" s="13">
        <v>2</v>
      </c>
      <c r="C113" s="21">
        <f>Referencias!F53</f>
        <v>0.8</v>
      </c>
      <c r="D113" s="21">
        <f t="shared" si="6"/>
        <v>1.6</v>
      </c>
      <c r="E113" s="9"/>
      <c r="F113" s="31"/>
      <c r="G113" s="87"/>
    </row>
    <row r="114" spans="1:8" ht="15">
      <c r="A114" s="12" t="str">
        <f>Referencias!B31</f>
        <v>bopp</v>
      </c>
      <c r="B114" s="13">
        <f>0.3*2</f>
        <v>0.6</v>
      </c>
      <c r="C114" s="21">
        <f>Referencias!F31</f>
        <v>0.45</v>
      </c>
      <c r="D114" s="21">
        <f t="shared" si="6"/>
        <v>0.27</v>
      </c>
      <c r="E114" s="9"/>
      <c r="F114" s="31"/>
      <c r="G114" s="87"/>
    </row>
    <row r="115" spans="1:8" ht="15">
      <c r="A115" s="19" t="str">
        <f>Referencias!B70</f>
        <v>Ima 3x15 (1mx0,62m)</v>
      </c>
      <c r="B115" s="26">
        <v>8.0000000000000002E-3</v>
      </c>
      <c r="C115" s="21">
        <f>Referencias!F70</f>
        <v>32.9</v>
      </c>
      <c r="D115" s="21">
        <f t="shared" si="6"/>
        <v>0.26319999999999999</v>
      </c>
      <c r="E115" s="9"/>
      <c r="F115" s="31"/>
      <c r="G115" s="87"/>
    </row>
    <row r="116" spans="1:8" ht="15">
      <c r="A116" s="19" t="str">
        <f>Referencias!B71</f>
        <v xml:space="preserve">caneta quadro branco </v>
      </c>
      <c r="B116" s="26">
        <v>1</v>
      </c>
      <c r="C116" s="21">
        <f>Referencias!F71</f>
        <v>1.7</v>
      </c>
      <c r="D116" s="21">
        <f t="shared" si="6"/>
        <v>1.7</v>
      </c>
      <c r="E116" s="9"/>
      <c r="F116" s="88"/>
      <c r="G116" s="82"/>
    </row>
    <row r="117" spans="1:8" ht="15">
      <c r="A117" s="19" t="str">
        <f>Referencias!B22</f>
        <v>Impressao Capa A4</v>
      </c>
      <c r="B117" s="26">
        <v>2</v>
      </c>
      <c r="C117" s="6">
        <f>Referencias!F22</f>
        <v>0.5</v>
      </c>
      <c r="D117" s="21">
        <f t="shared" si="6"/>
        <v>1</v>
      </c>
      <c r="E117" s="9"/>
      <c r="F117" s="88"/>
      <c r="G117" s="82"/>
    </row>
    <row r="118" spans="1:8" ht="15">
      <c r="A118" s="19" t="str">
        <f>Referencias!B62</f>
        <v>Frete</v>
      </c>
      <c r="B118" s="27"/>
      <c r="C118" s="28">
        <f>Referencias!F62</f>
        <v>0</v>
      </c>
      <c r="D118" s="21">
        <f t="shared" si="6"/>
        <v>0</v>
      </c>
    </row>
    <row r="119" spans="1:8" ht="15">
      <c r="A119" s="19" t="str">
        <f>Referencias!B14</f>
        <v>Desgaste Bloquinho/Outros</v>
      </c>
      <c r="B119" s="26">
        <v>1</v>
      </c>
      <c r="C119" s="6">
        <f>Referencias!F14</f>
        <v>0.5</v>
      </c>
      <c r="D119" s="21">
        <f t="shared" si="6"/>
        <v>0.5</v>
      </c>
    </row>
    <row r="120" spans="1:8" ht="15">
      <c r="A120" s="19" t="str">
        <f>Referencias!B17</f>
        <v>Embalagem Padrão</v>
      </c>
      <c r="B120" s="26">
        <v>1</v>
      </c>
      <c r="C120" s="6">
        <f>Referencias!F17</f>
        <v>1.5</v>
      </c>
      <c r="D120" s="21">
        <f t="shared" si="6"/>
        <v>1.5</v>
      </c>
    </row>
    <row r="121" spans="1:8" ht="15">
      <c r="A121" s="22" t="s">
        <v>312</v>
      </c>
      <c r="B121" s="27"/>
      <c r="C121" s="28"/>
      <c r="D121" s="23">
        <f>SUM(D112:D120)</f>
        <v>8.3331999999999997</v>
      </c>
      <c r="E121" s="18"/>
      <c r="F121" s="18"/>
      <c r="G121" s="18"/>
      <c r="H121" s="31"/>
    </row>
    <row r="122" spans="1:8" ht="15">
      <c r="A122" s="22" t="s">
        <v>313</v>
      </c>
      <c r="B122" s="24">
        <v>0.55000000000000004</v>
      </c>
      <c r="C122" s="21">
        <f>D121*B122</f>
        <v>4.5832600000000001</v>
      </c>
      <c r="D122" s="23">
        <f>D121+C122</f>
        <v>12.916460000000001</v>
      </c>
      <c r="E122" s="92"/>
      <c r="F122" s="93"/>
      <c r="G122" s="93"/>
      <c r="H122" s="31"/>
    </row>
    <row r="123" spans="1:8" ht="15">
      <c r="A123" s="22" t="s">
        <v>314</v>
      </c>
      <c r="B123" s="19"/>
      <c r="C123" s="27"/>
      <c r="D123" s="27"/>
      <c r="E123" s="7"/>
      <c r="F123" s="7"/>
      <c r="G123" s="7"/>
      <c r="H123" s="31"/>
    </row>
    <row r="124" spans="1:8" ht="15">
      <c r="A124" s="22" t="s">
        <v>315</v>
      </c>
      <c r="B124" s="38"/>
      <c r="C124" s="27"/>
      <c r="D124" s="23">
        <v>40</v>
      </c>
      <c r="E124" s="16"/>
      <c r="F124" s="16"/>
      <c r="G124" s="16"/>
      <c r="H124" s="31"/>
    </row>
    <row r="125" spans="1:8" ht="15">
      <c r="H125" s="82"/>
    </row>
  </sheetData>
  <mergeCells count="14">
    <mergeCell ref="A111:C111"/>
    <mergeCell ref="E122:G122"/>
    <mergeCell ref="A1:C1"/>
    <mergeCell ref="E16:G16"/>
    <mergeCell ref="A20:C20"/>
    <mergeCell ref="E35:G35"/>
    <mergeCell ref="A39:C39"/>
    <mergeCell ref="E54:G54"/>
    <mergeCell ref="A58:C58"/>
    <mergeCell ref="E73:G73"/>
    <mergeCell ref="A77:C77"/>
    <mergeCell ref="E90:G90"/>
    <mergeCell ref="A94:C94"/>
    <mergeCell ref="E107:G107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FF00"/>
    <outlinePr summaryBelow="0" summaryRight="0"/>
  </sheetPr>
  <dimension ref="A1:G178"/>
  <sheetViews>
    <sheetView workbookViewId="0">
      <selection sqref="A1:C1"/>
    </sheetView>
  </sheetViews>
  <sheetFormatPr defaultColWidth="12.5703125" defaultRowHeight="15.75" customHeight="1"/>
  <cols>
    <col min="1" max="1" width="36.28515625" customWidth="1"/>
    <col min="2" max="2" width="8.42578125" customWidth="1"/>
    <col min="3" max="3" width="8.7109375" customWidth="1"/>
    <col min="4" max="4" width="8.42578125" customWidth="1"/>
    <col min="5" max="7" width="8.7109375" customWidth="1"/>
    <col min="11" max="11" width="37.28515625" customWidth="1"/>
    <col min="12" max="12" width="13.42578125" customWidth="1"/>
    <col min="13" max="13" width="13.85546875" customWidth="1"/>
  </cols>
  <sheetData>
    <row r="1" spans="1:7" ht="15.75" customHeight="1">
      <c r="A1" s="89" t="s">
        <v>329</v>
      </c>
      <c r="B1" s="90"/>
      <c r="C1" s="91"/>
      <c r="D1" s="3">
        <v>79.900000000000006</v>
      </c>
    </row>
    <row r="2" spans="1:7" ht="15.75" customHeight="1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4" si="0">B2*C2</f>
        <v>3</v>
      </c>
    </row>
    <row r="3" spans="1:7" ht="15.75" customHeight="1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</row>
    <row r="4" spans="1:7" ht="15.75" customHeight="1">
      <c r="A4" s="12" t="str">
        <f>Referencias!B31</f>
        <v>bopp</v>
      </c>
      <c r="B4" s="13">
        <f>0.3*2</f>
        <v>0.6</v>
      </c>
      <c r="C4" s="6">
        <f>Referencias!F31</f>
        <v>0.45</v>
      </c>
      <c r="D4" s="6">
        <f t="shared" si="0"/>
        <v>0.27</v>
      </c>
    </row>
    <row r="5" spans="1:7" ht="15.75" customHeight="1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</row>
    <row r="6" spans="1:7" ht="15.75" customHeight="1">
      <c r="A6" s="12" t="str">
        <f>Referencias!B40</f>
        <v>miolo 75gr A5</v>
      </c>
      <c r="B6" s="13">
        <v>205</v>
      </c>
      <c r="C6" s="6">
        <f>Referencias!F40</f>
        <v>0.03</v>
      </c>
      <c r="D6" s="6">
        <f t="shared" si="0"/>
        <v>6.1499999999999995</v>
      </c>
    </row>
    <row r="7" spans="1:7" ht="15.75" customHeight="1">
      <c r="A7" s="12" t="str">
        <f>Referencias!B34</f>
        <v>Bolso  offset 180gr</v>
      </c>
      <c r="B7" s="13">
        <v>1</v>
      </c>
      <c r="C7" s="6">
        <f>Referencias!F34</f>
        <v>0.32</v>
      </c>
      <c r="D7" s="6">
        <f t="shared" si="0"/>
        <v>0.32</v>
      </c>
    </row>
    <row r="8" spans="1:7" ht="15.75" customHeight="1">
      <c r="A8" s="12" t="str">
        <f>Referencias!B20</f>
        <v>Espiral 33mm</v>
      </c>
      <c r="B8" s="13">
        <v>1</v>
      </c>
      <c r="C8" s="6">
        <f>Referencias!F20</f>
        <v>4</v>
      </c>
      <c r="D8" s="6">
        <f t="shared" si="0"/>
        <v>4</v>
      </c>
    </row>
    <row r="9" spans="1:7" ht="15.75" customHeight="1">
      <c r="A9" s="12" t="str">
        <f>Referencias!B22</f>
        <v>Impressao Capa A4</v>
      </c>
      <c r="B9" s="13">
        <v>2</v>
      </c>
      <c r="C9" s="6">
        <f>Referencias!F22</f>
        <v>0.5</v>
      </c>
      <c r="D9" s="6">
        <f t="shared" si="0"/>
        <v>1</v>
      </c>
    </row>
    <row r="10" spans="1:7" ht="15.75" customHeight="1">
      <c r="A10" s="12" t="str">
        <f>Referencias!B29</f>
        <v>Impressao Miolo Frente Verso A5</v>
      </c>
      <c r="B10" s="13">
        <v>205</v>
      </c>
      <c r="C10" s="6">
        <f>Referencias!F29</f>
        <v>0.06</v>
      </c>
      <c r="D10" s="6">
        <f t="shared" si="0"/>
        <v>12.299999999999999</v>
      </c>
    </row>
    <row r="11" spans="1:7" ht="15.75" customHeight="1">
      <c r="A11" s="12" t="str">
        <f>Referencias!B21</f>
        <v>Impressao Bolso A4</v>
      </c>
      <c r="B11" s="13">
        <v>1</v>
      </c>
      <c r="C11" s="6">
        <f>Referencias!F21</f>
        <v>1</v>
      </c>
      <c r="D11" s="6">
        <f t="shared" si="0"/>
        <v>1</v>
      </c>
    </row>
    <row r="12" spans="1:7" ht="15.75" customHeight="1">
      <c r="A12" s="12" t="str">
        <f>Referencias!B62</f>
        <v>Frete</v>
      </c>
      <c r="B12" s="12"/>
      <c r="C12" s="6">
        <f>Referencias!F62</f>
        <v>0</v>
      </c>
      <c r="D12" s="6">
        <f t="shared" si="0"/>
        <v>0</v>
      </c>
    </row>
    <row r="13" spans="1:7" ht="15.75" customHeight="1">
      <c r="A13" s="12" t="str">
        <f>Referencias!B13</f>
        <v>Desgaste Agenda</v>
      </c>
      <c r="B13" s="13">
        <v>1</v>
      </c>
      <c r="C13" s="6">
        <f>Referencias!F13</f>
        <v>1</v>
      </c>
      <c r="D13" s="6">
        <f t="shared" si="0"/>
        <v>1</v>
      </c>
    </row>
    <row r="14" spans="1:7" ht="15.75" customHeight="1">
      <c r="A14" s="12" t="str">
        <f>Referencias!B17</f>
        <v>Embalagem Padrão</v>
      </c>
      <c r="B14" s="13">
        <v>1</v>
      </c>
      <c r="C14" s="6">
        <f>Referencias!F17</f>
        <v>1.5</v>
      </c>
      <c r="D14" s="6">
        <f t="shared" si="0"/>
        <v>1.5</v>
      </c>
    </row>
    <row r="15" spans="1:7" ht="15.75" customHeight="1">
      <c r="A15" s="2" t="s">
        <v>312</v>
      </c>
      <c r="B15" s="12"/>
      <c r="C15" s="10"/>
      <c r="D15" s="3">
        <f>SUM(D2:D14)</f>
        <v>33.64</v>
      </c>
    </row>
    <row r="16" spans="1:7" ht="15.75" customHeight="1">
      <c r="A16" s="2" t="s">
        <v>313</v>
      </c>
      <c r="B16" s="15">
        <v>0.55000000000000004</v>
      </c>
      <c r="C16" s="6">
        <f>D15*B16</f>
        <v>18.502000000000002</v>
      </c>
      <c r="D16" s="3">
        <f>D15+C16</f>
        <v>52.142000000000003</v>
      </c>
      <c r="E16" s="92"/>
      <c r="F16" s="93"/>
      <c r="G16" s="93"/>
    </row>
    <row r="17" spans="1:7" ht="15.75" customHeight="1">
      <c r="A17" s="2" t="s">
        <v>314</v>
      </c>
      <c r="B17" s="40" t="s">
        <v>330</v>
      </c>
      <c r="C17" s="36" t="s">
        <v>331</v>
      </c>
      <c r="D17" s="10"/>
      <c r="E17" s="7"/>
      <c r="F17" s="7"/>
      <c r="G17" s="7"/>
    </row>
    <row r="18" spans="1:7" ht="15.75" customHeight="1">
      <c r="A18" s="2" t="s">
        <v>315</v>
      </c>
      <c r="B18" s="37">
        <v>69</v>
      </c>
      <c r="C18" s="41">
        <v>69</v>
      </c>
      <c r="D18" s="3">
        <v>89.9</v>
      </c>
      <c r="E18" s="16"/>
      <c r="F18" s="16"/>
      <c r="G18" s="16"/>
    </row>
    <row r="20" spans="1:7" ht="15.75" customHeight="1">
      <c r="A20" s="89" t="s">
        <v>332</v>
      </c>
      <c r="B20" s="90"/>
      <c r="C20" s="91"/>
      <c r="D20" s="3">
        <v>55.9</v>
      </c>
    </row>
    <row r="21" spans="1:7" ht="15.75" customHeight="1">
      <c r="A21" s="12" t="str">
        <f>Referencias!B57</f>
        <v>Papelão 15x18,5</v>
      </c>
      <c r="B21" s="13">
        <v>2</v>
      </c>
      <c r="C21" s="6">
        <f>Referencias!F57</f>
        <v>1.5</v>
      </c>
      <c r="D21" s="6">
        <f t="shared" ref="D21:D33" si="1">B21*C21</f>
        <v>3</v>
      </c>
    </row>
    <row r="22" spans="1:7" ht="15.75" customHeight="1">
      <c r="A22" s="12" t="str">
        <f>Referencias!B53</f>
        <v>Papel fotografico A4</v>
      </c>
      <c r="B22" s="13">
        <v>2</v>
      </c>
      <c r="C22" s="6">
        <f>Referencias!F53</f>
        <v>0.8</v>
      </c>
      <c r="D22" s="6">
        <f t="shared" si="1"/>
        <v>1.6</v>
      </c>
    </row>
    <row r="23" spans="1:7" ht="15.75" customHeight="1">
      <c r="A23" s="12" t="str">
        <f>Referencias!B31</f>
        <v>bopp</v>
      </c>
      <c r="B23" s="13">
        <f>0.3*2</f>
        <v>0.6</v>
      </c>
      <c r="C23" s="6">
        <f>Referencias!F31</f>
        <v>0.45</v>
      </c>
      <c r="D23" s="6">
        <f t="shared" si="1"/>
        <v>0.27</v>
      </c>
    </row>
    <row r="24" spans="1:7" ht="15.75" customHeight="1">
      <c r="A24" s="12" t="str">
        <f>Referencias!B47</f>
        <v>Papel guarda 14,5x18 offset adesivo</v>
      </c>
      <c r="B24" s="13">
        <v>2</v>
      </c>
      <c r="C24" s="6">
        <f>Referencias!F47</f>
        <v>0.75</v>
      </c>
      <c r="D24" s="6">
        <f t="shared" si="1"/>
        <v>1.5</v>
      </c>
    </row>
    <row r="25" spans="1:7" ht="15.75" customHeight="1">
      <c r="A25" s="12" t="str">
        <f>Referencias!B46</f>
        <v>miolo 90gr A5 14x18</v>
      </c>
      <c r="B25" s="13">
        <v>115</v>
      </c>
      <c r="C25" s="6">
        <f>Referencias!F46</f>
        <v>0.05</v>
      </c>
      <c r="D25" s="6">
        <f t="shared" si="1"/>
        <v>5.75</v>
      </c>
    </row>
    <row r="26" spans="1:7" ht="15.75" customHeight="1">
      <c r="A26" s="12" t="str">
        <f>Referencias!B34</f>
        <v>Bolso  offset 180gr</v>
      </c>
      <c r="B26" s="13">
        <v>1</v>
      </c>
      <c r="C26" s="6">
        <f>Referencias!F34</f>
        <v>0.32</v>
      </c>
      <c r="D26" s="6">
        <f t="shared" si="1"/>
        <v>0.32</v>
      </c>
    </row>
    <row r="27" spans="1:7" ht="15.75" customHeight="1">
      <c r="A27" s="12" t="str">
        <f>Referencias!B19</f>
        <v>Espiral 29mm</v>
      </c>
      <c r="B27" s="13">
        <v>1</v>
      </c>
      <c r="C27" s="6">
        <f>Referencias!F19</f>
        <v>1.83</v>
      </c>
      <c r="D27" s="6">
        <f t="shared" si="1"/>
        <v>1.83</v>
      </c>
    </row>
    <row r="28" spans="1:7" ht="15.75" customHeight="1">
      <c r="A28" s="12" t="str">
        <f>Referencias!B22</f>
        <v>Impressao Capa A4</v>
      </c>
      <c r="B28" s="13">
        <v>2</v>
      </c>
      <c r="C28" s="6">
        <f>Referencias!F22</f>
        <v>0.5</v>
      </c>
      <c r="D28" s="6">
        <f t="shared" si="1"/>
        <v>1</v>
      </c>
    </row>
    <row r="29" spans="1:7" ht="15.75" customHeight="1">
      <c r="A29" s="12" t="str">
        <f>Referencias!B29</f>
        <v>Impressao Miolo Frente Verso A5</v>
      </c>
      <c r="B29" s="13">
        <v>115</v>
      </c>
      <c r="C29" s="6">
        <f>Referencias!F29</f>
        <v>0.06</v>
      </c>
      <c r="D29" s="6">
        <f t="shared" si="1"/>
        <v>6.8999999999999995</v>
      </c>
    </row>
    <row r="30" spans="1:7" ht="15.75" customHeight="1">
      <c r="A30" s="12" t="str">
        <f>Referencias!B21</f>
        <v>Impressao Bolso A4</v>
      </c>
      <c r="B30" s="13">
        <v>1</v>
      </c>
      <c r="C30" s="6">
        <f>Referencias!F21</f>
        <v>1</v>
      </c>
      <c r="D30" s="6">
        <f t="shared" si="1"/>
        <v>1</v>
      </c>
    </row>
    <row r="31" spans="1:7" ht="15.75" customHeight="1">
      <c r="A31" s="12" t="str">
        <f>Referencias!B62</f>
        <v>Frete</v>
      </c>
      <c r="B31" s="12"/>
      <c r="C31" s="6">
        <f>Referencias!F62</f>
        <v>0</v>
      </c>
      <c r="D31" s="6">
        <f t="shared" si="1"/>
        <v>0</v>
      </c>
    </row>
    <row r="32" spans="1:7" ht="15.75" customHeight="1">
      <c r="A32" s="12" t="str">
        <f>Referencias!B13</f>
        <v>Desgaste Agenda</v>
      </c>
      <c r="B32" s="13">
        <v>1</v>
      </c>
      <c r="C32" s="6">
        <f>Referencias!F13</f>
        <v>1</v>
      </c>
      <c r="D32" s="6">
        <f t="shared" si="1"/>
        <v>1</v>
      </c>
    </row>
    <row r="33" spans="1:7" ht="15.75" customHeight="1">
      <c r="A33" s="12" t="str">
        <f>Referencias!B17</f>
        <v>Embalagem Padrão</v>
      </c>
      <c r="B33" s="13">
        <v>1</v>
      </c>
      <c r="C33" s="6">
        <f>Referencias!F17</f>
        <v>1.5</v>
      </c>
      <c r="D33" s="6">
        <f t="shared" si="1"/>
        <v>1.5</v>
      </c>
    </row>
    <row r="34" spans="1:7" ht="15.75" customHeight="1">
      <c r="A34" s="2" t="s">
        <v>312</v>
      </c>
      <c r="B34" s="12"/>
      <c r="C34" s="10"/>
      <c r="D34" s="3">
        <f>SUM(D21:D33)</f>
        <v>25.669999999999998</v>
      </c>
    </row>
    <row r="35" spans="1:7" ht="15.75" customHeight="1">
      <c r="A35" s="2" t="s">
        <v>313</v>
      </c>
      <c r="B35" s="15">
        <v>0.55000000000000004</v>
      </c>
      <c r="C35" s="6">
        <f>D34*B35</f>
        <v>14.118500000000001</v>
      </c>
      <c r="D35" s="3">
        <f>D34+C35</f>
        <v>39.788499999999999</v>
      </c>
      <c r="E35" s="92"/>
      <c r="F35" s="93"/>
      <c r="G35" s="93"/>
    </row>
    <row r="36" spans="1:7" ht="15.75" customHeight="1">
      <c r="A36" s="2" t="s">
        <v>314</v>
      </c>
      <c r="B36" s="40" t="s">
        <v>330</v>
      </c>
      <c r="C36" s="36" t="s">
        <v>331</v>
      </c>
      <c r="D36" s="10"/>
      <c r="E36" s="7"/>
      <c r="F36" s="7"/>
      <c r="G36" s="7"/>
    </row>
    <row r="37" spans="1:7" ht="15">
      <c r="A37" s="2" t="s">
        <v>315</v>
      </c>
      <c r="B37" s="37">
        <v>54.9</v>
      </c>
      <c r="C37" s="41">
        <v>54</v>
      </c>
      <c r="D37" s="3">
        <v>65.900000000000006</v>
      </c>
      <c r="E37" s="16"/>
      <c r="F37" s="16"/>
      <c r="G37" s="16"/>
    </row>
    <row r="39" spans="1:7" ht="15">
      <c r="A39" s="89" t="s">
        <v>333</v>
      </c>
      <c r="B39" s="90"/>
      <c r="C39" s="91"/>
      <c r="D39" s="3">
        <v>85.9</v>
      </c>
    </row>
    <row r="40" spans="1:7" ht="15">
      <c r="A40" s="12" t="str">
        <f>Referencias!B58</f>
        <v>Papelão 16x22</v>
      </c>
      <c r="B40" s="13">
        <v>2</v>
      </c>
      <c r="C40" s="6">
        <f>Referencias!F58</f>
        <v>1.5</v>
      </c>
      <c r="D40" s="6">
        <f t="shared" ref="D40:D52" si="2">B40*C40</f>
        <v>3</v>
      </c>
    </row>
    <row r="41" spans="1:7" ht="15">
      <c r="A41" s="12" t="str">
        <f>Referencias!B53</f>
        <v>Papel fotografico A4</v>
      </c>
      <c r="B41" s="13">
        <v>2</v>
      </c>
      <c r="C41" s="6">
        <f>Referencias!F53</f>
        <v>0.8</v>
      </c>
      <c r="D41" s="6">
        <f t="shared" si="2"/>
        <v>1.6</v>
      </c>
    </row>
    <row r="42" spans="1:7" ht="15">
      <c r="A42" s="12" t="str">
        <f>Referencias!B31</f>
        <v>bopp</v>
      </c>
      <c r="B42" s="13">
        <f>0.3*2</f>
        <v>0.6</v>
      </c>
      <c r="C42" s="6">
        <f>Referencias!F31</f>
        <v>0.45</v>
      </c>
      <c r="D42" s="6">
        <f t="shared" si="2"/>
        <v>0.27</v>
      </c>
    </row>
    <row r="43" spans="1:7" ht="15">
      <c r="A43" s="12" t="str">
        <f>Referencias!B48</f>
        <v>Papel guarda 15,5x21,5 offset adesivo</v>
      </c>
      <c r="B43" s="13">
        <v>2</v>
      </c>
      <c r="C43" s="6">
        <f>Referencias!F48</f>
        <v>0.75</v>
      </c>
      <c r="D43" s="6">
        <f t="shared" si="2"/>
        <v>1.5</v>
      </c>
    </row>
    <row r="44" spans="1:7" ht="15">
      <c r="A44" s="12" t="str">
        <f>Referencias!B40</f>
        <v>miolo 75gr A5</v>
      </c>
      <c r="B44" s="13">
        <v>209</v>
      </c>
      <c r="C44" s="6">
        <f>Referencias!F40</f>
        <v>0.03</v>
      </c>
      <c r="D44" s="6">
        <f t="shared" si="2"/>
        <v>6.27</v>
      </c>
    </row>
    <row r="45" spans="1:7" ht="15">
      <c r="A45" s="12" t="str">
        <f>Referencias!B34</f>
        <v>Bolso  offset 180gr</v>
      </c>
      <c r="B45" s="13">
        <v>1</v>
      </c>
      <c r="C45" s="6">
        <f>Referencias!F34</f>
        <v>0.32</v>
      </c>
      <c r="D45" s="6">
        <f t="shared" si="2"/>
        <v>0.32</v>
      </c>
    </row>
    <row r="46" spans="1:7" ht="15">
      <c r="A46" s="12" t="str">
        <f>Referencias!B20</f>
        <v>Espiral 33mm</v>
      </c>
      <c r="B46" s="13">
        <v>1</v>
      </c>
      <c r="C46" s="6">
        <f>Referencias!F20</f>
        <v>4</v>
      </c>
      <c r="D46" s="6">
        <f t="shared" si="2"/>
        <v>4</v>
      </c>
    </row>
    <row r="47" spans="1:7" ht="15">
      <c r="A47" s="12" t="str">
        <f>Referencias!B22</f>
        <v>Impressao Capa A4</v>
      </c>
      <c r="B47" s="13">
        <v>2</v>
      </c>
      <c r="C47" s="6">
        <f>Referencias!F22</f>
        <v>0.5</v>
      </c>
      <c r="D47" s="6">
        <f t="shared" si="2"/>
        <v>1</v>
      </c>
    </row>
    <row r="48" spans="1:7" ht="15">
      <c r="A48" s="12" t="str">
        <f>Referencias!B29</f>
        <v>Impressao Miolo Frente Verso A5</v>
      </c>
      <c r="B48" s="13">
        <v>209</v>
      </c>
      <c r="C48" s="6">
        <f>Referencias!F29</f>
        <v>0.06</v>
      </c>
      <c r="D48" s="6">
        <f t="shared" si="2"/>
        <v>12.54</v>
      </c>
    </row>
    <row r="49" spans="1:7" ht="15">
      <c r="A49" s="12" t="str">
        <f>Referencias!B21</f>
        <v>Impressao Bolso A4</v>
      </c>
      <c r="B49" s="13">
        <v>1</v>
      </c>
      <c r="C49" s="6">
        <f>Referencias!F21</f>
        <v>1</v>
      </c>
      <c r="D49" s="6">
        <f t="shared" si="2"/>
        <v>1</v>
      </c>
    </row>
    <row r="50" spans="1:7" ht="15">
      <c r="A50" s="12" t="str">
        <f>Referencias!B62</f>
        <v>Frete</v>
      </c>
      <c r="B50" s="12"/>
      <c r="C50" s="6">
        <f>Referencias!F62</f>
        <v>0</v>
      </c>
      <c r="D50" s="6">
        <f t="shared" si="2"/>
        <v>0</v>
      </c>
    </row>
    <row r="51" spans="1:7" ht="15">
      <c r="A51" s="12" t="str">
        <f>Referencias!B13</f>
        <v>Desgaste Agenda</v>
      </c>
      <c r="B51" s="13">
        <v>1</v>
      </c>
      <c r="C51" s="6">
        <f>Referencias!F13</f>
        <v>1</v>
      </c>
      <c r="D51" s="6">
        <f t="shared" si="2"/>
        <v>1</v>
      </c>
    </row>
    <row r="52" spans="1:7" ht="15">
      <c r="A52" s="12" t="str">
        <f>Referencias!B17</f>
        <v>Embalagem Padrão</v>
      </c>
      <c r="B52" s="13">
        <v>1</v>
      </c>
      <c r="C52" s="6">
        <f>Referencias!F17</f>
        <v>1.5</v>
      </c>
      <c r="D52" s="6">
        <f t="shared" si="2"/>
        <v>1.5</v>
      </c>
    </row>
    <row r="53" spans="1:7" ht="15">
      <c r="A53" s="2" t="s">
        <v>312</v>
      </c>
      <c r="B53" s="12"/>
      <c r="C53" s="6"/>
      <c r="D53" s="3">
        <f>SUM(D40:D52)</f>
        <v>34</v>
      </c>
    </row>
    <row r="54" spans="1:7" ht="15">
      <c r="A54" s="2" t="s">
        <v>313</v>
      </c>
      <c r="B54" s="15">
        <v>0.55000000000000004</v>
      </c>
      <c r="C54" s="6">
        <f>D53*B54</f>
        <v>18.700000000000003</v>
      </c>
      <c r="D54" s="3">
        <f>D53+C54</f>
        <v>52.7</v>
      </c>
      <c r="E54" s="92"/>
      <c r="F54" s="93"/>
      <c r="G54" s="93"/>
    </row>
    <row r="55" spans="1:7" ht="15">
      <c r="A55" s="2" t="s">
        <v>314</v>
      </c>
      <c r="B55" s="40" t="s">
        <v>330</v>
      </c>
      <c r="C55" s="36"/>
      <c r="D55" s="10"/>
      <c r="E55" s="7"/>
      <c r="F55" s="7"/>
      <c r="G55" s="7"/>
    </row>
    <row r="56" spans="1:7" ht="15">
      <c r="A56" s="2" t="s">
        <v>315</v>
      </c>
      <c r="B56" s="37">
        <v>84.9</v>
      </c>
      <c r="C56" s="36"/>
      <c r="D56" s="3">
        <v>85.9</v>
      </c>
      <c r="E56" s="16"/>
      <c r="F56" s="16"/>
      <c r="G56" s="16"/>
    </row>
    <row r="58" spans="1:7" ht="15">
      <c r="A58" s="89" t="s">
        <v>334</v>
      </c>
      <c r="B58" s="90"/>
      <c r="C58" s="91"/>
      <c r="D58" s="3">
        <v>20</v>
      </c>
    </row>
    <row r="59" spans="1:7" ht="15">
      <c r="A59" s="12" t="str">
        <f>Referencias!B56</f>
        <v>Papelão 15,5x21,5+2,5x21,5</v>
      </c>
      <c r="B59" s="13">
        <v>2</v>
      </c>
      <c r="C59" s="6">
        <f>Referencias!F56</f>
        <v>1.5</v>
      </c>
      <c r="D59" s="6">
        <f t="shared" ref="D59:D69" si="3">B59*C59</f>
        <v>3</v>
      </c>
    </row>
    <row r="60" spans="1:7" ht="15">
      <c r="A60" s="12" t="str">
        <f>Referencias!B52</f>
        <v>Papel offset adesivo A4</v>
      </c>
      <c r="B60" s="13">
        <v>2</v>
      </c>
      <c r="C60" s="6">
        <f>Referencias!F52</f>
        <v>0.75</v>
      </c>
      <c r="D60" s="6">
        <f t="shared" si="3"/>
        <v>1.5</v>
      </c>
    </row>
    <row r="61" spans="1:7" ht="15">
      <c r="A61" s="12" t="str">
        <f>Referencias!B31</f>
        <v>bopp</v>
      </c>
      <c r="B61" s="13">
        <f>0.3*2</f>
        <v>0.6</v>
      </c>
      <c r="C61" s="6">
        <f>Referencias!F31</f>
        <v>0.45</v>
      </c>
      <c r="D61" s="6">
        <f t="shared" si="3"/>
        <v>0.27</v>
      </c>
    </row>
    <row r="62" spans="1:7" ht="15">
      <c r="A62" s="12" t="str">
        <f>Referencias!B50</f>
        <v>Papel guarda 20x20 offset adesivo</v>
      </c>
      <c r="B62" s="13">
        <v>2</v>
      </c>
      <c r="C62" s="6">
        <f>Referencias!F50</f>
        <v>0.75</v>
      </c>
      <c r="D62" s="6">
        <f t="shared" si="3"/>
        <v>1.5</v>
      </c>
    </row>
    <row r="63" spans="1:7" ht="15">
      <c r="A63" s="12" t="str">
        <f>Referencias!B36</f>
        <v>miolo 180g A5</v>
      </c>
      <c r="B63" s="13">
        <v>12</v>
      </c>
      <c r="C63" s="6">
        <f>Referencias!F36</f>
        <v>0.16</v>
      </c>
      <c r="D63" s="6">
        <f t="shared" si="3"/>
        <v>1.92</v>
      </c>
    </row>
    <row r="64" spans="1:7" ht="15">
      <c r="A64" s="12" t="str">
        <f>Referencias!B18</f>
        <v>Espiral 17mm</v>
      </c>
      <c r="B64" s="13">
        <v>1</v>
      </c>
      <c r="C64" s="6">
        <f>Referencias!F18</f>
        <v>0.52</v>
      </c>
      <c r="D64" s="6">
        <f t="shared" si="3"/>
        <v>0.52</v>
      </c>
    </row>
    <row r="65" spans="1:7" ht="15">
      <c r="A65" s="12" t="str">
        <f>Referencias!B22</f>
        <v>Impressao Capa A4</v>
      </c>
      <c r="B65" s="13">
        <v>2</v>
      </c>
      <c r="C65" s="6">
        <f>Referencias!F22</f>
        <v>0.5</v>
      </c>
      <c r="D65" s="6">
        <f t="shared" si="3"/>
        <v>1</v>
      </c>
    </row>
    <row r="66" spans="1:7" ht="15">
      <c r="A66" s="12" t="str">
        <f>Referencias!B29</f>
        <v>Impressao Miolo Frente Verso A5</v>
      </c>
      <c r="B66" s="13">
        <v>12</v>
      </c>
      <c r="C66" s="6">
        <f>Referencias!F29</f>
        <v>0.06</v>
      </c>
      <c r="D66" s="6">
        <f t="shared" si="3"/>
        <v>0.72</v>
      </c>
    </row>
    <row r="67" spans="1:7" ht="15">
      <c r="A67" s="12" t="str">
        <f>Referencias!B62</f>
        <v>Frete</v>
      </c>
      <c r="B67" s="12"/>
      <c r="C67" s="6">
        <f>Referencias!F62</f>
        <v>0</v>
      </c>
      <c r="D67" s="6">
        <f t="shared" si="3"/>
        <v>0</v>
      </c>
    </row>
    <row r="68" spans="1:7" ht="15">
      <c r="A68" s="12" t="str">
        <f>Referencias!B14</f>
        <v>Desgaste Bloquinho/Outros</v>
      </c>
      <c r="B68" s="13">
        <v>1</v>
      </c>
      <c r="C68" s="6">
        <f>Referencias!F14</f>
        <v>0.5</v>
      </c>
      <c r="D68" s="6">
        <f t="shared" si="3"/>
        <v>0.5</v>
      </c>
    </row>
    <row r="69" spans="1:7" ht="15">
      <c r="A69" s="12" t="str">
        <f>Referencias!B17</f>
        <v>Embalagem Padrão</v>
      </c>
      <c r="B69" s="13">
        <v>1</v>
      </c>
      <c r="C69" s="6">
        <f>Referencias!F17</f>
        <v>1.5</v>
      </c>
      <c r="D69" s="6">
        <f t="shared" si="3"/>
        <v>1.5</v>
      </c>
    </row>
    <row r="70" spans="1:7" ht="15">
      <c r="A70" s="2" t="s">
        <v>312</v>
      </c>
      <c r="B70" s="12"/>
      <c r="C70" s="10"/>
      <c r="D70" s="3">
        <f>SUM(D59:D69)</f>
        <v>12.43</v>
      </c>
    </row>
    <row r="71" spans="1:7" ht="15">
      <c r="A71" s="2" t="s">
        <v>313</v>
      </c>
      <c r="B71" s="15">
        <v>0.55000000000000004</v>
      </c>
      <c r="C71" s="6">
        <f>D70*B71</f>
        <v>6.8365</v>
      </c>
      <c r="D71" s="3">
        <f>D70+C71</f>
        <v>19.266500000000001</v>
      </c>
      <c r="E71" s="92"/>
      <c r="F71" s="93"/>
      <c r="G71" s="93"/>
    </row>
    <row r="72" spans="1:7" ht="15">
      <c r="A72" s="2" t="s">
        <v>314</v>
      </c>
      <c r="B72" s="40" t="s">
        <v>330</v>
      </c>
      <c r="C72" s="36"/>
      <c r="D72" s="10"/>
      <c r="E72" s="7"/>
      <c r="F72" s="7"/>
      <c r="G72" s="7"/>
    </row>
    <row r="73" spans="1:7" ht="15">
      <c r="A73" s="2" t="s">
        <v>315</v>
      </c>
      <c r="B73" s="37">
        <v>24.9</v>
      </c>
      <c r="C73" s="41"/>
      <c r="D73" s="3">
        <v>25</v>
      </c>
      <c r="E73" s="16"/>
      <c r="F73" s="16"/>
      <c r="G73" s="16"/>
    </row>
    <row r="75" spans="1:7" ht="15">
      <c r="A75" s="89" t="s">
        <v>336</v>
      </c>
      <c r="B75" s="90"/>
      <c r="C75" s="91"/>
      <c r="D75" s="3">
        <v>15</v>
      </c>
    </row>
    <row r="76" spans="1:7" ht="15">
      <c r="A76" s="12" t="str">
        <f>Referencias!B61</f>
        <v>Papelão 9,5x10,5+9,5x2</v>
      </c>
      <c r="B76" s="13">
        <v>1</v>
      </c>
      <c r="C76" s="6">
        <f>Referencias!F61</f>
        <v>1.5</v>
      </c>
      <c r="D76" s="6">
        <f t="shared" ref="D76:D85" si="4">B76*C76</f>
        <v>1.5</v>
      </c>
    </row>
    <row r="77" spans="1:7" ht="15">
      <c r="A77" s="12" t="str">
        <f>Referencias!B51</f>
        <v>Papel offset adesivo + guarda</v>
      </c>
      <c r="B77" s="13">
        <v>1</v>
      </c>
      <c r="C77" s="6">
        <f>Referencias!F51</f>
        <v>0.75</v>
      </c>
      <c r="D77" s="6">
        <f t="shared" si="4"/>
        <v>0.75</v>
      </c>
    </row>
    <row r="78" spans="1:7" ht="15">
      <c r="A78" s="12" t="str">
        <f>Referencias!B31</f>
        <v>bopp</v>
      </c>
      <c r="B78" s="13">
        <f>0.3</f>
        <v>0.3</v>
      </c>
      <c r="C78" s="6">
        <f>Referencias!F31</f>
        <v>0.45</v>
      </c>
      <c r="D78" s="6">
        <f t="shared" si="4"/>
        <v>0.13500000000000001</v>
      </c>
    </row>
    <row r="79" spans="1:7" ht="15">
      <c r="A79" s="12" t="str">
        <f>Referencias!B37</f>
        <v>miolo 180gr A4</v>
      </c>
      <c r="B79" s="13">
        <v>3</v>
      </c>
      <c r="C79" s="6">
        <f>Referencias!F37</f>
        <v>0.32</v>
      </c>
      <c r="D79" s="6">
        <f t="shared" si="4"/>
        <v>0.96</v>
      </c>
    </row>
    <row r="80" spans="1:7" ht="15">
      <c r="A80" s="12" t="str">
        <f>Referencias!B18</f>
        <v>Espiral 17mm</v>
      </c>
      <c r="B80" s="13">
        <v>0.34</v>
      </c>
      <c r="C80" s="6">
        <f>Referencias!F18</f>
        <v>0.52</v>
      </c>
      <c r="D80" s="6">
        <f t="shared" si="4"/>
        <v>0.17680000000000001</v>
      </c>
    </row>
    <row r="81" spans="1:7" ht="15">
      <c r="A81" s="12" t="str">
        <f>Referencias!B22</f>
        <v>Impressao Capa A4</v>
      </c>
      <c r="B81" s="13">
        <v>1</v>
      </c>
      <c r="C81" s="6">
        <f>Referencias!F22</f>
        <v>0.5</v>
      </c>
      <c r="D81" s="6">
        <f t="shared" si="4"/>
        <v>0.5</v>
      </c>
    </row>
    <row r="82" spans="1:7" ht="15">
      <c r="A82" s="12" t="str">
        <f>Referencias!B63</f>
        <v>Impressao Miolo Frente A4</v>
      </c>
      <c r="B82" s="13">
        <v>3</v>
      </c>
      <c r="C82" s="6">
        <f>Referencias!F63</f>
        <v>0.06</v>
      </c>
      <c r="D82" s="6">
        <f t="shared" si="4"/>
        <v>0.18</v>
      </c>
    </row>
    <row r="83" spans="1:7" ht="15">
      <c r="A83" s="12" t="str">
        <f>Referencias!B62</f>
        <v>Frete</v>
      </c>
      <c r="B83" s="12"/>
      <c r="C83" s="6">
        <f>Referencias!F62</f>
        <v>0</v>
      </c>
      <c r="D83" s="6">
        <f t="shared" si="4"/>
        <v>0</v>
      </c>
    </row>
    <row r="84" spans="1:7" ht="15">
      <c r="A84" s="12" t="str">
        <f>Referencias!B14</f>
        <v>Desgaste Bloquinho/Outros</v>
      </c>
      <c r="B84" s="13">
        <v>1</v>
      </c>
      <c r="C84" s="6">
        <f>Referencias!F14</f>
        <v>0.5</v>
      </c>
      <c r="D84" s="6">
        <f t="shared" si="4"/>
        <v>0.5</v>
      </c>
    </row>
    <row r="85" spans="1:7" ht="15">
      <c r="A85" s="12" t="str">
        <f>Referencias!B17</f>
        <v>Embalagem Padrão</v>
      </c>
      <c r="B85" s="13">
        <v>1</v>
      </c>
      <c r="C85" s="6">
        <f>Referencias!F17</f>
        <v>1.5</v>
      </c>
      <c r="D85" s="6">
        <f t="shared" si="4"/>
        <v>1.5</v>
      </c>
    </row>
    <row r="86" spans="1:7" ht="15">
      <c r="A86" s="2" t="s">
        <v>312</v>
      </c>
      <c r="B86" s="12"/>
      <c r="C86" s="10"/>
      <c r="D86" s="3">
        <f>SUM(D76:D85)</f>
        <v>6.2017999999999995</v>
      </c>
      <c r="E86" s="92"/>
      <c r="F86" s="93"/>
      <c r="G86" s="93"/>
    </row>
    <row r="87" spans="1:7" ht="15">
      <c r="A87" s="2" t="s">
        <v>313</v>
      </c>
      <c r="B87" s="15">
        <v>0.55000000000000004</v>
      </c>
      <c r="C87" s="6">
        <f>D86*B87</f>
        <v>3.41099</v>
      </c>
      <c r="D87" s="3">
        <f>D86+C87</f>
        <v>9.6127900000000004</v>
      </c>
      <c r="E87" s="7"/>
      <c r="F87" s="7"/>
      <c r="G87" s="7"/>
    </row>
    <row r="88" spans="1:7" ht="15">
      <c r="A88" s="2" t="s">
        <v>314</v>
      </c>
      <c r="B88" s="40" t="s">
        <v>330</v>
      </c>
      <c r="C88" s="36" t="s">
        <v>331</v>
      </c>
      <c r="D88" s="10"/>
      <c r="E88" s="16"/>
      <c r="F88" s="16"/>
      <c r="G88" s="16"/>
    </row>
    <row r="89" spans="1:7" ht="15">
      <c r="A89" s="2" t="s">
        <v>315</v>
      </c>
      <c r="B89" s="37">
        <v>18.899999999999999</v>
      </c>
      <c r="C89" s="41">
        <v>11.9</v>
      </c>
      <c r="D89" s="3">
        <v>15</v>
      </c>
      <c r="E89" s="39"/>
      <c r="F89" s="39"/>
      <c r="G89" s="39"/>
    </row>
    <row r="91" spans="1:7" ht="15">
      <c r="A91" s="89" t="s">
        <v>457</v>
      </c>
      <c r="B91" s="90"/>
      <c r="C91" s="91"/>
      <c r="D91" s="11">
        <v>10</v>
      </c>
    </row>
    <row r="92" spans="1:7" ht="15">
      <c r="A92" s="12" t="str">
        <f>Referencias!B60</f>
        <v>Papelão 7,7x8,5+7,7x2,5</v>
      </c>
      <c r="B92" s="13">
        <v>1</v>
      </c>
      <c r="C92" s="6">
        <f>Referencias!F60</f>
        <v>0.75</v>
      </c>
      <c r="D92" s="6">
        <f t="shared" ref="D92:D101" si="5">B92*C92</f>
        <v>0.75</v>
      </c>
    </row>
    <row r="93" spans="1:7" ht="15">
      <c r="A93" s="12" t="str">
        <f>Referencias!B51</f>
        <v>Papel offset adesivo + guarda</v>
      </c>
      <c r="B93" s="13">
        <v>1</v>
      </c>
      <c r="C93" s="6">
        <f>Referencias!F51</f>
        <v>0.75</v>
      </c>
      <c r="D93" s="6">
        <f t="shared" si="5"/>
        <v>0.75</v>
      </c>
    </row>
    <row r="94" spans="1:7" ht="15">
      <c r="A94" s="12" t="str">
        <f>Referencias!B31</f>
        <v>bopp</v>
      </c>
      <c r="B94" s="13">
        <f>0.3</f>
        <v>0.3</v>
      </c>
      <c r="C94" s="6">
        <f>Referencias!F31</f>
        <v>0.45</v>
      </c>
      <c r="D94" s="6">
        <f t="shared" si="5"/>
        <v>0.13500000000000001</v>
      </c>
    </row>
    <row r="95" spans="1:7" ht="15">
      <c r="A95" s="12" t="str">
        <f>Referencias!B37</f>
        <v>miolo 180gr A4</v>
      </c>
      <c r="B95" s="13">
        <v>2</v>
      </c>
      <c r="C95" s="6">
        <f>Referencias!F37</f>
        <v>0.32</v>
      </c>
      <c r="D95" s="6">
        <f t="shared" si="5"/>
        <v>0.64</v>
      </c>
    </row>
    <row r="96" spans="1:7" ht="15">
      <c r="A96" s="12" t="str">
        <f>Referencias!B18</f>
        <v>Espiral 17mm</v>
      </c>
      <c r="B96" s="13">
        <v>0.34</v>
      </c>
      <c r="C96" s="6">
        <f>Referencias!F18</f>
        <v>0.52</v>
      </c>
      <c r="D96" s="6">
        <f t="shared" si="5"/>
        <v>0.17680000000000001</v>
      </c>
    </row>
    <row r="97" spans="1:7" ht="15">
      <c r="A97" s="12" t="str">
        <f>Referencias!B22</f>
        <v>Impressao Capa A4</v>
      </c>
      <c r="B97" s="13">
        <v>1</v>
      </c>
      <c r="C97" s="6">
        <f>Referencias!F22</f>
        <v>0.5</v>
      </c>
      <c r="D97" s="6">
        <f t="shared" si="5"/>
        <v>0.5</v>
      </c>
    </row>
    <row r="98" spans="1:7" ht="15">
      <c r="A98" s="12" t="str">
        <f>Referencias!B63</f>
        <v>Impressao Miolo Frente A4</v>
      </c>
      <c r="B98" s="13">
        <v>2</v>
      </c>
      <c r="C98" s="6">
        <f>Referencias!F63</f>
        <v>0.06</v>
      </c>
      <c r="D98" s="6">
        <f t="shared" si="5"/>
        <v>0.12</v>
      </c>
    </row>
    <row r="99" spans="1:7" ht="15">
      <c r="A99" s="12" t="str">
        <f>Referencias!B62</f>
        <v>Frete</v>
      </c>
      <c r="B99" s="12"/>
      <c r="C99" s="6">
        <f>Referencias!F62</f>
        <v>0</v>
      </c>
      <c r="D99" s="6">
        <f t="shared" si="5"/>
        <v>0</v>
      </c>
    </row>
    <row r="100" spans="1:7" ht="15">
      <c r="A100" s="12" t="str">
        <f>Referencias!B14</f>
        <v>Desgaste Bloquinho/Outros</v>
      </c>
      <c r="B100" s="13">
        <v>1</v>
      </c>
      <c r="C100" s="6">
        <f>Referencias!F14</f>
        <v>0.5</v>
      </c>
      <c r="D100" s="6">
        <f t="shared" si="5"/>
        <v>0.5</v>
      </c>
    </row>
    <row r="101" spans="1:7" ht="15">
      <c r="A101" s="12" t="str">
        <f>Referencias!B17</f>
        <v>Embalagem Padrão</v>
      </c>
      <c r="B101" s="13">
        <v>1</v>
      </c>
      <c r="C101" s="6">
        <f>Referencias!F17</f>
        <v>1.5</v>
      </c>
      <c r="D101" s="6">
        <f t="shared" si="5"/>
        <v>1.5</v>
      </c>
    </row>
    <row r="102" spans="1:7" ht="15">
      <c r="A102" s="2" t="s">
        <v>312</v>
      </c>
      <c r="B102" s="12"/>
      <c r="C102" s="10"/>
      <c r="D102" s="3">
        <f>SUM(D92:D101)</f>
        <v>5.0717999999999996</v>
      </c>
    </row>
    <row r="103" spans="1:7" ht="15">
      <c r="A103" s="2" t="s">
        <v>313</v>
      </c>
      <c r="B103" s="15">
        <v>0.55000000000000004</v>
      </c>
      <c r="C103" s="6">
        <f>D102*B103</f>
        <v>2.7894900000000002</v>
      </c>
      <c r="D103" s="3">
        <f>D102+C103</f>
        <v>7.8612900000000003</v>
      </c>
      <c r="E103" s="92"/>
      <c r="F103" s="93"/>
      <c r="G103" s="93"/>
    </row>
    <row r="104" spans="1:7" ht="15">
      <c r="A104" s="2" t="s">
        <v>314</v>
      </c>
      <c r="B104" s="40" t="s">
        <v>330</v>
      </c>
      <c r="C104" s="36"/>
      <c r="D104" s="10"/>
      <c r="E104" s="7"/>
      <c r="F104" s="7"/>
      <c r="G104" s="7"/>
    </row>
    <row r="105" spans="1:7" ht="15">
      <c r="A105" s="2" t="s">
        <v>315</v>
      </c>
      <c r="B105" s="37">
        <v>9.9</v>
      </c>
      <c r="C105" s="36"/>
      <c r="D105" s="11">
        <v>10</v>
      </c>
      <c r="E105" s="16"/>
      <c r="F105" s="16"/>
      <c r="G105" s="16"/>
    </row>
    <row r="107" spans="1:7" ht="15">
      <c r="A107" s="89" t="s">
        <v>338</v>
      </c>
      <c r="B107" s="90"/>
      <c r="C107" s="91"/>
      <c r="D107" s="11">
        <v>119.9</v>
      </c>
    </row>
    <row r="108" spans="1:7" ht="15">
      <c r="A108" s="12" t="str">
        <f>Referencias!B59</f>
        <v>Papelão 17x22</v>
      </c>
      <c r="B108" s="13">
        <v>2</v>
      </c>
      <c r="C108" s="6">
        <f>Referencias!F59</f>
        <v>1.5</v>
      </c>
      <c r="D108" s="6">
        <f t="shared" ref="D108:D127" si="6">B108*C108</f>
        <v>3</v>
      </c>
    </row>
    <row r="109" spans="1:7" ht="15">
      <c r="A109" s="12" t="str">
        <f>Referencias!B53</f>
        <v>Papel fotografico A4</v>
      </c>
      <c r="B109" s="13">
        <v>2</v>
      </c>
      <c r="C109" s="6">
        <f>Referencias!F53</f>
        <v>0.8</v>
      </c>
      <c r="D109" s="6">
        <f t="shared" si="6"/>
        <v>1.6</v>
      </c>
    </row>
    <row r="110" spans="1:7" ht="15">
      <c r="A110" s="12" t="str">
        <f>Referencias!B31</f>
        <v>bopp</v>
      </c>
      <c r="B110" s="13">
        <f>0.3*2</f>
        <v>0.6</v>
      </c>
      <c r="C110" s="6">
        <f>Referencias!F31</f>
        <v>0.45</v>
      </c>
      <c r="D110" s="6">
        <f t="shared" si="6"/>
        <v>0.27</v>
      </c>
    </row>
    <row r="111" spans="1:7" ht="15">
      <c r="A111" s="12" t="str">
        <f>Referencias!B49</f>
        <v>Papel guarda 16,5x21,5 offset adesivo</v>
      </c>
      <c r="B111" s="13">
        <v>2</v>
      </c>
      <c r="C111" s="6">
        <f>Referencias!F49</f>
        <v>0.75</v>
      </c>
      <c r="D111" s="6">
        <f t="shared" si="6"/>
        <v>1.5</v>
      </c>
      <c r="F111" s="39"/>
    </row>
    <row r="112" spans="1:7" ht="15">
      <c r="A112" s="12" t="str">
        <f>Referencias!B45</f>
        <v>miolo 90gr A5</v>
      </c>
      <c r="B112" s="13">
        <v>100</v>
      </c>
      <c r="C112" s="6">
        <f>Referencias!F45</f>
        <v>0.05</v>
      </c>
      <c r="D112" s="6">
        <f t="shared" si="6"/>
        <v>5</v>
      </c>
    </row>
    <row r="113" spans="1:4" ht="15">
      <c r="A113" s="12" t="str">
        <f>Referencias!B35</f>
        <v>divisórias offset 180gr</v>
      </c>
      <c r="B113" s="13">
        <v>12</v>
      </c>
      <c r="C113" s="6">
        <f>Referencias!F35</f>
        <v>0.32</v>
      </c>
      <c r="D113" s="6">
        <f t="shared" si="6"/>
        <v>3.84</v>
      </c>
    </row>
    <row r="114" spans="1:4" ht="15">
      <c r="A114" s="12" t="str">
        <f>Referencias!B43</f>
        <v>Marcador 90g A6</v>
      </c>
      <c r="B114" s="13">
        <v>1</v>
      </c>
      <c r="C114" s="6">
        <f>Referencias!F43</f>
        <v>0.03</v>
      </c>
      <c r="D114" s="6">
        <f t="shared" si="6"/>
        <v>0.03</v>
      </c>
    </row>
    <row r="115" spans="1:4" ht="15">
      <c r="A115" s="12" t="str">
        <f>Referencias!B33</f>
        <v>Polaseal marcador 1/4 A4</v>
      </c>
      <c r="B115" s="13">
        <v>1</v>
      </c>
      <c r="C115" s="6">
        <f>Referencias!F33</f>
        <v>0.02</v>
      </c>
      <c r="D115" s="6">
        <f t="shared" si="6"/>
        <v>0.02</v>
      </c>
    </row>
    <row r="116" spans="1:4" ht="15">
      <c r="A116" s="12" t="str">
        <f>Referencias!B34</f>
        <v>Bolso  offset 180gr</v>
      </c>
      <c r="B116" s="13">
        <v>1</v>
      </c>
      <c r="C116" s="6">
        <f>Referencias!F34</f>
        <v>0.32</v>
      </c>
      <c r="D116" s="6">
        <f t="shared" si="6"/>
        <v>0.32</v>
      </c>
    </row>
    <row r="117" spans="1:4" ht="15">
      <c r="A117" s="12" t="str">
        <f>Referencias!B32</f>
        <v>Polaseal A4 Divisórias</v>
      </c>
      <c r="B117" s="13">
        <v>12</v>
      </c>
      <c r="C117" s="6">
        <f>Referencias!F32</f>
        <v>0.09</v>
      </c>
      <c r="D117" s="6">
        <f t="shared" si="6"/>
        <v>1.08</v>
      </c>
    </row>
    <row r="118" spans="1:4" ht="15">
      <c r="A118" s="12" t="str">
        <f>Referencias!B6</f>
        <v>Elastico</v>
      </c>
      <c r="B118" s="13">
        <v>0.32</v>
      </c>
      <c r="C118" s="6">
        <f>Referencias!F6</f>
        <v>0.69</v>
      </c>
      <c r="D118" s="6">
        <f t="shared" si="6"/>
        <v>0.2208</v>
      </c>
    </row>
    <row r="119" spans="1:4" ht="15">
      <c r="A119" s="12" t="str">
        <f>Referencias!B20</f>
        <v>Espiral 33mm</v>
      </c>
      <c r="B119" s="13">
        <v>1</v>
      </c>
      <c r="C119" s="6">
        <f>Referencias!F20</f>
        <v>4</v>
      </c>
      <c r="D119" s="6">
        <f t="shared" si="6"/>
        <v>4</v>
      </c>
    </row>
    <row r="120" spans="1:4" ht="15">
      <c r="A120" s="12" t="str">
        <f>Referencias!B22</f>
        <v>Impressao Capa A4</v>
      </c>
      <c r="B120" s="13">
        <v>2</v>
      </c>
      <c r="C120" s="6">
        <f>Referencias!F22</f>
        <v>0.5</v>
      </c>
      <c r="D120" s="6">
        <f t="shared" si="6"/>
        <v>1</v>
      </c>
    </row>
    <row r="121" spans="1:4" ht="15">
      <c r="A121" s="12" t="str">
        <f>Referencias!B64</f>
        <v>Impressao Divisória A4</v>
      </c>
      <c r="B121" s="13">
        <v>12</v>
      </c>
      <c r="C121" s="6">
        <f>Referencias!F64</f>
        <v>1</v>
      </c>
      <c r="D121" s="6">
        <f t="shared" si="6"/>
        <v>12</v>
      </c>
    </row>
    <row r="122" spans="1:4" ht="15">
      <c r="A122" s="12" t="str">
        <f>Referencias!B29</f>
        <v>Impressao Miolo Frente Verso A5</v>
      </c>
      <c r="B122" s="13">
        <v>100</v>
      </c>
      <c r="C122" s="6">
        <f>Referencias!F29</f>
        <v>0.06</v>
      </c>
      <c r="D122" s="6">
        <f t="shared" si="6"/>
        <v>6</v>
      </c>
    </row>
    <row r="123" spans="1:4" ht="15">
      <c r="A123" s="12" t="str">
        <f>Referencias!B25</f>
        <v>Impressao Marcador Frente Verso 1/4 A4</v>
      </c>
      <c r="B123" s="13">
        <v>1</v>
      </c>
      <c r="C123" s="6">
        <f>Referencias!F25</f>
        <v>0.25</v>
      </c>
      <c r="D123" s="6">
        <f t="shared" si="6"/>
        <v>0.25</v>
      </c>
    </row>
    <row r="124" spans="1:4" ht="15">
      <c r="A124" s="12" t="str">
        <f>Referencias!B21</f>
        <v>Impressao Bolso A4</v>
      </c>
      <c r="B124" s="13">
        <v>1</v>
      </c>
      <c r="C124" s="6">
        <f>Referencias!F21</f>
        <v>1</v>
      </c>
      <c r="D124" s="6">
        <f t="shared" si="6"/>
        <v>1</v>
      </c>
    </row>
    <row r="125" spans="1:4" ht="15">
      <c r="A125" s="12" t="str">
        <f>Referencias!B62</f>
        <v>Frete</v>
      </c>
      <c r="B125" s="12"/>
      <c r="C125" s="6">
        <f>Referencias!F62</f>
        <v>0</v>
      </c>
      <c r="D125" s="6">
        <f t="shared" si="6"/>
        <v>0</v>
      </c>
    </row>
    <row r="126" spans="1:4" ht="15">
      <c r="A126" s="12" t="str">
        <f>Referencias!B16</f>
        <v>Desgaste Planner/Album/Caderno Universitario</v>
      </c>
      <c r="B126" s="13">
        <v>1</v>
      </c>
      <c r="C126" s="6">
        <f>Referencias!F16</f>
        <v>3</v>
      </c>
      <c r="D126" s="6">
        <f t="shared" si="6"/>
        <v>3</v>
      </c>
    </row>
    <row r="127" spans="1:4" ht="15">
      <c r="A127" s="12" t="str">
        <f>Referencias!B17</f>
        <v>Embalagem Padrão</v>
      </c>
      <c r="B127" s="13">
        <v>1</v>
      </c>
      <c r="C127" s="6">
        <f>Referencias!F17</f>
        <v>1.5</v>
      </c>
      <c r="D127" s="6">
        <f t="shared" si="6"/>
        <v>1.5</v>
      </c>
    </row>
    <row r="128" spans="1:4" ht="15">
      <c r="A128" s="2" t="s">
        <v>312</v>
      </c>
      <c r="B128" s="12"/>
      <c r="C128" s="10"/>
      <c r="D128" s="3">
        <f>SUM(D108:D124)</f>
        <v>41.130799999999994</v>
      </c>
    </row>
    <row r="129" spans="1:7" ht="15">
      <c r="A129" s="2" t="s">
        <v>313</v>
      </c>
      <c r="B129" s="15">
        <v>0.55000000000000004</v>
      </c>
      <c r="C129" s="6">
        <f>D128*B129</f>
        <v>22.621939999999999</v>
      </c>
      <c r="D129" s="3">
        <f>D128+C129</f>
        <v>63.752739999999989</v>
      </c>
      <c r="E129" s="92"/>
      <c r="F129" s="93"/>
      <c r="G129" s="93"/>
    </row>
    <row r="130" spans="1:7" ht="15">
      <c r="A130" s="2" t="s">
        <v>314</v>
      </c>
      <c r="B130" s="40" t="s">
        <v>330</v>
      </c>
      <c r="C130" s="36" t="s">
        <v>331</v>
      </c>
      <c r="D130" s="10"/>
      <c r="E130" s="7"/>
      <c r="F130" s="7"/>
      <c r="G130" s="7"/>
    </row>
    <row r="131" spans="1:7" ht="15">
      <c r="A131" s="2" t="s">
        <v>315</v>
      </c>
      <c r="B131" s="37">
        <v>119.9</v>
      </c>
      <c r="C131" s="41">
        <v>165</v>
      </c>
      <c r="D131" s="11">
        <v>119.9</v>
      </c>
      <c r="E131" s="16"/>
      <c r="F131" s="16"/>
      <c r="G131" s="16"/>
    </row>
    <row r="133" spans="1:7" ht="15">
      <c r="A133" s="89" t="s">
        <v>458</v>
      </c>
      <c r="B133" s="90"/>
      <c r="C133" s="91"/>
      <c r="D133" s="11">
        <v>10</v>
      </c>
    </row>
    <row r="134" spans="1:7" ht="15">
      <c r="A134" s="12" t="str">
        <f>Referencias!B55</f>
        <v>Papel Kraft A5</v>
      </c>
      <c r="B134" s="13">
        <v>1</v>
      </c>
      <c r="C134" s="6">
        <f>Referencias!F55</f>
        <v>0.27</v>
      </c>
      <c r="D134" s="6">
        <f t="shared" ref="D134:D140" si="7">B134*C134</f>
        <v>0.27</v>
      </c>
    </row>
    <row r="135" spans="1:7" ht="15">
      <c r="A135" s="12" t="str">
        <f>Referencias!B42</f>
        <v>Sulfite 75g A5</v>
      </c>
      <c r="B135" s="13">
        <v>15</v>
      </c>
      <c r="C135" s="6">
        <f>Referencias!F42</f>
        <v>0.03</v>
      </c>
      <c r="D135" s="6">
        <f t="shared" si="7"/>
        <v>0.44999999999999996</v>
      </c>
    </row>
    <row r="136" spans="1:7" ht="15">
      <c r="A136" s="12" t="str">
        <f>Referencias!B5</f>
        <v>Cordão Encerado Settanyl</v>
      </c>
      <c r="B136" s="13">
        <v>0.6</v>
      </c>
      <c r="C136" s="6">
        <f>Referencias!F5</f>
        <v>0.16</v>
      </c>
      <c r="D136" s="6">
        <f t="shared" si="7"/>
        <v>9.6000000000000002E-2</v>
      </c>
    </row>
    <row r="137" spans="1:7" ht="15">
      <c r="A137" s="12" t="str">
        <f>Referencias!B23</f>
        <v>Impressao Capa A5</v>
      </c>
      <c r="B137" s="13">
        <v>1</v>
      </c>
      <c r="C137" s="6">
        <f>Referencias!F23</f>
        <v>0.25</v>
      </c>
      <c r="D137" s="6">
        <f t="shared" si="7"/>
        <v>0.25</v>
      </c>
    </row>
    <row r="138" spans="1:7" ht="15">
      <c r="A138" s="12" t="str">
        <f>Referencias!B62</f>
        <v>Frete</v>
      </c>
      <c r="B138" s="12"/>
      <c r="C138" s="6">
        <f>Referencias!F62</f>
        <v>0</v>
      </c>
      <c r="D138" s="6">
        <f t="shared" si="7"/>
        <v>0</v>
      </c>
    </row>
    <row r="139" spans="1:7" ht="15">
      <c r="A139" s="12" t="str">
        <f>Referencias!B14</f>
        <v>Desgaste Bloquinho/Outros</v>
      </c>
      <c r="B139" s="13">
        <v>1</v>
      </c>
      <c r="C139" s="6">
        <f>Referencias!F14</f>
        <v>0.5</v>
      </c>
      <c r="D139" s="6">
        <f t="shared" si="7"/>
        <v>0.5</v>
      </c>
    </row>
    <row r="140" spans="1:7" ht="15">
      <c r="A140" s="12" t="str">
        <f>Referencias!B17</f>
        <v>Embalagem Padrão</v>
      </c>
      <c r="B140" s="13">
        <v>1</v>
      </c>
      <c r="C140" s="6">
        <f>Referencias!F17</f>
        <v>1.5</v>
      </c>
      <c r="D140" s="6">
        <f t="shared" si="7"/>
        <v>1.5</v>
      </c>
    </row>
    <row r="141" spans="1:7" ht="15">
      <c r="A141" s="2" t="s">
        <v>312</v>
      </c>
      <c r="B141" s="12"/>
      <c r="C141" s="6"/>
      <c r="D141" s="3">
        <f>SUM(D134:D140)</f>
        <v>3.0659999999999998</v>
      </c>
    </row>
    <row r="142" spans="1:7" ht="15">
      <c r="A142" s="2" t="s">
        <v>313</v>
      </c>
      <c r="B142" s="15">
        <v>0.55000000000000004</v>
      </c>
      <c r="C142" s="6">
        <f>D141*B142</f>
        <v>1.6863000000000001</v>
      </c>
      <c r="D142" s="3">
        <f>D141+C142</f>
        <v>4.7523</v>
      </c>
      <c r="E142" s="92"/>
      <c r="F142" s="93"/>
      <c r="G142" s="93"/>
    </row>
    <row r="143" spans="1:7" ht="15">
      <c r="A143" s="2" t="s">
        <v>314</v>
      </c>
      <c r="B143" s="12"/>
      <c r="C143" s="10"/>
      <c r="D143" s="10"/>
      <c r="E143" s="7"/>
      <c r="F143" s="7"/>
      <c r="G143" s="7"/>
    </row>
    <row r="144" spans="1:7" ht="15">
      <c r="A144" s="2" t="s">
        <v>315</v>
      </c>
      <c r="B144" s="12"/>
      <c r="C144" s="10"/>
      <c r="D144" s="11">
        <v>10</v>
      </c>
      <c r="E144" s="16"/>
      <c r="F144" s="16"/>
      <c r="G144" s="16"/>
    </row>
    <row r="146" spans="1:7" ht="15">
      <c r="A146" s="89" t="s">
        <v>459</v>
      </c>
      <c r="B146" s="90"/>
      <c r="C146" s="91"/>
      <c r="D146" s="11">
        <v>10</v>
      </c>
    </row>
    <row r="147" spans="1:7" ht="15">
      <c r="A147" s="12" t="str">
        <f>Referencias!B44</f>
        <v>miolo 90gr A4 dobrado no meio</v>
      </c>
      <c r="B147" s="13">
        <v>6</v>
      </c>
      <c r="C147" s="6">
        <f>Referencias!F44</f>
        <v>0.1</v>
      </c>
      <c r="D147" s="6">
        <f t="shared" ref="D147:D154" si="8">B147*C147</f>
        <v>0.60000000000000009</v>
      </c>
    </row>
    <row r="148" spans="1:7" ht="15">
      <c r="A148" s="12" t="str">
        <f>Referencias!B38</f>
        <v>Papel 240g A4</v>
      </c>
      <c r="B148" s="13">
        <v>1</v>
      </c>
      <c r="C148" s="6">
        <f>Referencias!F38</f>
        <v>0.42</v>
      </c>
      <c r="D148" s="6">
        <f t="shared" si="8"/>
        <v>0.42</v>
      </c>
    </row>
    <row r="149" spans="1:7" ht="15">
      <c r="A149" s="12" t="str">
        <f>Referencias!B5</f>
        <v>Cordão Encerado Settanyl</v>
      </c>
      <c r="B149" s="13">
        <v>0.54</v>
      </c>
      <c r="C149" s="6">
        <f>Referencias!F5</f>
        <v>0.16</v>
      </c>
      <c r="D149" s="6">
        <f t="shared" si="8"/>
        <v>8.6400000000000005E-2</v>
      </c>
    </row>
    <row r="150" spans="1:7" ht="15">
      <c r="A150" s="12" t="str">
        <f>Referencias!B22</f>
        <v>Impressao Capa A4</v>
      </c>
      <c r="B150" s="13">
        <v>2</v>
      </c>
      <c r="C150" s="6">
        <f>Referencias!F22</f>
        <v>0.5</v>
      </c>
      <c r="D150" s="6">
        <f t="shared" si="8"/>
        <v>1</v>
      </c>
    </row>
    <row r="151" spans="1:7" ht="15">
      <c r="A151" s="12" t="str">
        <f>Referencias!B28</f>
        <v>Impressao Miolo Frente Verso A4</v>
      </c>
      <c r="B151" s="13">
        <v>6</v>
      </c>
      <c r="C151" s="6">
        <f>Referencias!F28</f>
        <v>0.12</v>
      </c>
      <c r="D151" s="6">
        <f t="shared" si="8"/>
        <v>0.72</v>
      </c>
    </row>
    <row r="152" spans="1:7" ht="15">
      <c r="A152" s="12" t="str">
        <f>Referencias!B62</f>
        <v>Frete</v>
      </c>
      <c r="B152" s="12"/>
      <c r="C152" s="6">
        <f>Referencias!F62</f>
        <v>0</v>
      </c>
      <c r="D152" s="6">
        <f t="shared" si="8"/>
        <v>0</v>
      </c>
    </row>
    <row r="153" spans="1:7" ht="15">
      <c r="A153" s="12" t="str">
        <f>Referencias!B14</f>
        <v>Desgaste Bloquinho/Outros</v>
      </c>
      <c r="B153" s="13">
        <v>1</v>
      </c>
      <c r="C153" s="6">
        <f>Referencias!F14</f>
        <v>0.5</v>
      </c>
      <c r="D153" s="6">
        <f t="shared" si="8"/>
        <v>0.5</v>
      </c>
    </row>
    <row r="154" spans="1:7" ht="15">
      <c r="A154" s="12" t="str">
        <f>Referencias!B17</f>
        <v>Embalagem Padrão</v>
      </c>
      <c r="B154" s="13">
        <v>1</v>
      </c>
      <c r="C154" s="6">
        <f>Referencias!F17</f>
        <v>1.5</v>
      </c>
      <c r="D154" s="6">
        <f t="shared" si="8"/>
        <v>1.5</v>
      </c>
    </row>
    <row r="155" spans="1:7" ht="15">
      <c r="A155" s="2" t="s">
        <v>312</v>
      </c>
      <c r="B155" s="12"/>
      <c r="C155" s="6"/>
      <c r="D155" s="3">
        <f>SUM(D147:D154)</f>
        <v>4.8263999999999996</v>
      </c>
    </row>
    <row r="156" spans="1:7" ht="15">
      <c r="A156" s="2" t="s">
        <v>313</v>
      </c>
      <c r="B156" s="15">
        <v>0.55000000000000004</v>
      </c>
      <c r="C156" s="6">
        <f>D155*B156</f>
        <v>2.6545199999999998</v>
      </c>
      <c r="D156" s="3">
        <f>D155+C156</f>
        <v>7.4809199999999993</v>
      </c>
      <c r="E156" s="92"/>
      <c r="F156" s="93"/>
      <c r="G156" s="93"/>
    </row>
    <row r="157" spans="1:7" ht="15">
      <c r="A157" s="2" t="s">
        <v>314</v>
      </c>
      <c r="B157" s="12"/>
      <c r="C157" s="10"/>
      <c r="D157" s="10"/>
      <c r="E157" s="7"/>
      <c r="F157" s="7"/>
      <c r="G157" s="7"/>
    </row>
    <row r="158" spans="1:7" ht="15">
      <c r="A158" s="2" t="s">
        <v>315</v>
      </c>
      <c r="B158" s="12"/>
      <c r="C158" s="10"/>
      <c r="D158" s="11">
        <v>10</v>
      </c>
      <c r="E158" s="16"/>
      <c r="F158" s="16"/>
      <c r="G158" s="16"/>
    </row>
    <row r="160" spans="1:7" ht="15">
      <c r="A160" s="89" t="s">
        <v>460</v>
      </c>
      <c r="B160" s="90"/>
      <c r="C160" s="91"/>
      <c r="D160" s="11">
        <v>10</v>
      </c>
    </row>
    <row r="161" spans="1:7" ht="15">
      <c r="A161" s="12" t="str">
        <f>Referencias!B44</f>
        <v>miolo 90gr A4 dobrado no meio</v>
      </c>
      <c r="B161" s="13">
        <v>12</v>
      </c>
      <c r="C161" s="6">
        <f>Referencias!F44</f>
        <v>0.1</v>
      </c>
      <c r="D161" s="6">
        <f t="shared" ref="D161:D167" si="9">B161*C161</f>
        <v>1.2000000000000002</v>
      </c>
    </row>
    <row r="162" spans="1:7" ht="15">
      <c r="A162" s="12" t="str">
        <f>Referencias!B41</f>
        <v>Sulfite 75g A4</v>
      </c>
      <c r="B162" s="13">
        <v>1</v>
      </c>
      <c r="C162" s="6">
        <f>Referencias!F41</f>
        <v>0.06</v>
      </c>
      <c r="D162" s="6">
        <f t="shared" si="9"/>
        <v>0.06</v>
      </c>
    </row>
    <row r="163" spans="1:7" ht="15">
      <c r="A163" s="12" t="str">
        <f>Referencias!B54</f>
        <v>Papel Kraft A4</v>
      </c>
      <c r="B163" s="13">
        <v>1</v>
      </c>
      <c r="C163" s="6">
        <f>Referencias!F54</f>
        <v>0.54</v>
      </c>
      <c r="D163" s="6">
        <f t="shared" si="9"/>
        <v>0.54</v>
      </c>
    </row>
    <row r="164" spans="1:7" ht="15">
      <c r="A164" s="12" t="str">
        <f>Referencias!B63</f>
        <v>Impressao Miolo Frente A4</v>
      </c>
      <c r="B164" s="13">
        <v>13</v>
      </c>
      <c r="C164" s="6">
        <f>Referencias!F63</f>
        <v>0.06</v>
      </c>
      <c r="D164" s="6">
        <f t="shared" si="9"/>
        <v>0.78</v>
      </c>
    </row>
    <row r="165" spans="1:7" ht="15">
      <c r="A165" s="12" t="str">
        <f>Referencias!B62</f>
        <v>Frete</v>
      </c>
      <c r="B165" s="12"/>
      <c r="C165" s="6">
        <f>Referencias!F62</f>
        <v>0</v>
      </c>
      <c r="D165" s="6">
        <f t="shared" si="9"/>
        <v>0</v>
      </c>
    </row>
    <row r="166" spans="1:7" ht="15">
      <c r="A166" s="12" t="str">
        <f>Referencias!B14</f>
        <v>Desgaste Bloquinho/Outros</v>
      </c>
      <c r="B166" s="13">
        <v>1</v>
      </c>
      <c r="C166" s="6">
        <f>Referencias!F14</f>
        <v>0.5</v>
      </c>
      <c r="D166" s="6">
        <f t="shared" si="9"/>
        <v>0.5</v>
      </c>
    </row>
    <row r="167" spans="1:7" ht="15">
      <c r="A167" s="12" t="str">
        <f>Referencias!B17</f>
        <v>Embalagem Padrão</v>
      </c>
      <c r="B167" s="13">
        <v>1</v>
      </c>
      <c r="C167" s="6">
        <f>Referencias!F17</f>
        <v>1.5</v>
      </c>
      <c r="D167" s="6">
        <f t="shared" si="9"/>
        <v>1.5</v>
      </c>
    </row>
    <row r="168" spans="1:7" ht="15">
      <c r="A168" s="2" t="s">
        <v>312</v>
      </c>
      <c r="B168" s="12"/>
      <c r="C168" s="6"/>
      <c r="D168" s="3">
        <f>SUM(D161:D167)</f>
        <v>4.58</v>
      </c>
    </row>
    <row r="169" spans="1:7" ht="15">
      <c r="A169" s="2" t="s">
        <v>313</v>
      </c>
      <c r="B169" s="15">
        <v>0.55000000000000004</v>
      </c>
      <c r="C169" s="6">
        <f>D168*B169</f>
        <v>2.5190000000000001</v>
      </c>
      <c r="D169" s="3">
        <f>D168+C169</f>
        <v>7.0990000000000002</v>
      </c>
      <c r="E169" s="92"/>
      <c r="F169" s="93"/>
      <c r="G169" s="93"/>
    </row>
    <row r="170" spans="1:7" ht="15">
      <c r="A170" s="2" t="s">
        <v>314</v>
      </c>
      <c r="B170" s="12"/>
      <c r="C170" s="10"/>
      <c r="D170" s="10"/>
      <c r="E170" s="7"/>
      <c r="F170" s="7"/>
      <c r="G170" s="7"/>
    </row>
    <row r="171" spans="1:7" ht="15">
      <c r="A171" s="2" t="s">
        <v>315</v>
      </c>
      <c r="B171" s="12"/>
      <c r="C171" s="10"/>
      <c r="D171" s="11">
        <v>10</v>
      </c>
      <c r="E171" s="16"/>
      <c r="F171" s="16"/>
      <c r="G171" s="16"/>
    </row>
    <row r="175" spans="1:7" ht="15">
      <c r="A175" s="73"/>
      <c r="B175" s="7"/>
      <c r="C175" s="39"/>
      <c r="D175" s="35"/>
    </row>
    <row r="176" spans="1:7" ht="15">
      <c r="A176" s="73"/>
      <c r="B176" s="86"/>
      <c r="D176" s="35"/>
      <c r="E176" s="92"/>
      <c r="F176" s="93"/>
      <c r="G176" s="93"/>
    </row>
    <row r="177" spans="1:7" ht="15">
      <c r="A177" s="73"/>
      <c r="B177" s="7"/>
      <c r="E177" s="7"/>
      <c r="F177" s="7"/>
      <c r="G177" s="7"/>
    </row>
    <row r="178" spans="1:7" ht="15">
      <c r="A178" s="73"/>
      <c r="B178" s="7"/>
      <c r="D178" s="61"/>
      <c r="E178" s="7"/>
      <c r="F178" s="7"/>
      <c r="G178" s="7"/>
    </row>
  </sheetData>
  <mergeCells count="21">
    <mergeCell ref="A1:C1"/>
    <mergeCell ref="E16:G16"/>
    <mergeCell ref="A20:C20"/>
    <mergeCell ref="E35:G35"/>
    <mergeCell ref="A39:C39"/>
    <mergeCell ref="E54:G54"/>
    <mergeCell ref="A58:C58"/>
    <mergeCell ref="E129:G129"/>
    <mergeCell ref="E142:G142"/>
    <mergeCell ref="A146:C146"/>
    <mergeCell ref="E156:G156"/>
    <mergeCell ref="A160:C160"/>
    <mergeCell ref="E169:G169"/>
    <mergeCell ref="E176:G176"/>
    <mergeCell ref="E71:G71"/>
    <mergeCell ref="A75:C75"/>
    <mergeCell ref="E86:G86"/>
    <mergeCell ref="A91:C91"/>
    <mergeCell ref="E103:G103"/>
    <mergeCell ref="A107:C107"/>
    <mergeCell ref="A133:C133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G83"/>
  <sheetViews>
    <sheetView workbookViewId="0">
      <selection sqref="A1:C1"/>
    </sheetView>
  </sheetViews>
  <sheetFormatPr defaultColWidth="12.5703125" defaultRowHeight="15.75" customHeight="1"/>
  <cols>
    <col min="1" max="1" width="29.140625" customWidth="1"/>
    <col min="2" max="2" width="11" customWidth="1"/>
    <col min="3" max="4" width="7.7109375" customWidth="1"/>
    <col min="5" max="7" width="8.42578125" customWidth="1"/>
    <col min="9" max="9" width="37.28515625" customWidth="1"/>
    <col min="10" max="10" width="13.42578125" customWidth="1"/>
    <col min="11" max="11" width="13.28515625" customWidth="1"/>
  </cols>
  <sheetData>
    <row r="1" spans="1:7" ht="15.75" customHeight="1">
      <c r="A1" s="89" t="s">
        <v>461</v>
      </c>
      <c r="B1" s="90"/>
      <c r="C1" s="91"/>
      <c r="D1" s="3">
        <v>50</v>
      </c>
    </row>
    <row r="2" spans="1:7" ht="15.75" customHeight="1">
      <c r="A2" s="12" t="str">
        <f>Referencias!B58</f>
        <v>Papelão 16x22</v>
      </c>
      <c r="B2" s="13">
        <v>2</v>
      </c>
      <c r="C2" s="6">
        <f>Referencias!F58</f>
        <v>1.5</v>
      </c>
      <c r="D2" s="6">
        <f t="shared" ref="D2:D12" si="0">B2*C2</f>
        <v>3</v>
      </c>
    </row>
    <row r="3" spans="1:7" ht="15.75" customHeight="1">
      <c r="A3" s="12" t="str">
        <f>Referencias!B53</f>
        <v>Papel fotografico A4</v>
      </c>
      <c r="B3" s="13">
        <v>2</v>
      </c>
      <c r="C3" s="6">
        <f>Referencias!F53</f>
        <v>0.8</v>
      </c>
      <c r="D3" s="6">
        <f t="shared" si="0"/>
        <v>1.6</v>
      </c>
    </row>
    <row r="4" spans="1:7" ht="15.75" customHeight="1">
      <c r="A4" s="12" t="str">
        <f>Referencias!B31</f>
        <v>bopp</v>
      </c>
      <c r="B4" s="13">
        <f>2*0.3</f>
        <v>0.6</v>
      </c>
      <c r="C4" s="6">
        <f>Referencias!F31</f>
        <v>0.45</v>
      </c>
      <c r="D4" s="6">
        <f t="shared" si="0"/>
        <v>0.27</v>
      </c>
    </row>
    <row r="5" spans="1:7" ht="15.75" customHeight="1">
      <c r="A5" s="12" t="str">
        <f>Referencias!B48</f>
        <v>Papel guarda 15,5x21,5 offset adesivo</v>
      </c>
      <c r="B5" s="13">
        <v>2</v>
      </c>
      <c r="C5" s="6">
        <f>Referencias!F48</f>
        <v>0.75</v>
      </c>
      <c r="D5" s="6">
        <f t="shared" si="0"/>
        <v>1.5</v>
      </c>
    </row>
    <row r="6" spans="1:7" ht="15.75" customHeight="1">
      <c r="A6" s="12" t="str">
        <f>Referencias!B45</f>
        <v>miolo 90gr A5</v>
      </c>
      <c r="B6" s="13">
        <v>84</v>
      </c>
      <c r="C6" s="6">
        <f>Referencias!F45</f>
        <v>0.05</v>
      </c>
      <c r="D6" s="6">
        <f t="shared" si="0"/>
        <v>4.2</v>
      </c>
    </row>
    <row r="7" spans="1:7" ht="15.75" customHeight="1">
      <c r="A7" s="12" t="str">
        <f>Referencias!B20</f>
        <v>Espiral 33mm</v>
      </c>
      <c r="B7" s="13">
        <v>1</v>
      </c>
      <c r="C7" s="6">
        <f>Referencias!F20</f>
        <v>4</v>
      </c>
      <c r="D7" s="6">
        <f t="shared" si="0"/>
        <v>4</v>
      </c>
    </row>
    <row r="8" spans="1:7" ht="15.75" customHeight="1">
      <c r="A8" s="12" t="str">
        <f>Referencias!B22</f>
        <v>Impressao Capa A4</v>
      </c>
      <c r="B8" s="13">
        <v>2</v>
      </c>
      <c r="C8" s="6">
        <f>Referencias!F22</f>
        <v>0.5</v>
      </c>
      <c r="D8" s="6">
        <f t="shared" si="0"/>
        <v>1</v>
      </c>
    </row>
    <row r="9" spans="1:7" ht="15.75" customHeight="1">
      <c r="A9" s="12" t="str">
        <f>Referencias!B29</f>
        <v>Impressao Miolo Frente Verso A5</v>
      </c>
      <c r="B9" s="13">
        <v>84</v>
      </c>
      <c r="C9" s="6">
        <f>Referencias!F29</f>
        <v>0.06</v>
      </c>
      <c r="D9" s="6">
        <f t="shared" si="0"/>
        <v>5.04</v>
      </c>
    </row>
    <row r="10" spans="1:7" ht="15.75" customHeight="1">
      <c r="A10" s="12" t="str">
        <f>Referencias!B62</f>
        <v>Frete</v>
      </c>
      <c r="B10" s="12"/>
      <c r="C10" s="6">
        <f>Referencias!F62</f>
        <v>0</v>
      </c>
      <c r="D10" s="6">
        <f t="shared" si="0"/>
        <v>0</v>
      </c>
    </row>
    <row r="11" spans="1:7" ht="15.75" customHeight="1">
      <c r="A11" s="12" t="str">
        <f>Referencias!B15</f>
        <v>Desgaste Caderno A5</v>
      </c>
      <c r="B11" s="13">
        <v>1</v>
      </c>
      <c r="C11" s="6">
        <f>Referencias!F15</f>
        <v>2</v>
      </c>
      <c r="D11" s="6">
        <f t="shared" si="0"/>
        <v>2</v>
      </c>
    </row>
    <row r="12" spans="1:7" ht="15.75" customHeight="1">
      <c r="A12" s="12" t="str">
        <f>Referencias!B17</f>
        <v>Embalagem Padrão</v>
      </c>
      <c r="B12" s="13">
        <v>1</v>
      </c>
      <c r="C12" s="6">
        <f>Referencias!F17</f>
        <v>1.5</v>
      </c>
      <c r="D12" s="6">
        <f t="shared" si="0"/>
        <v>1.5</v>
      </c>
    </row>
    <row r="13" spans="1:7" ht="15.75" customHeight="1">
      <c r="A13" s="2" t="s">
        <v>312</v>
      </c>
      <c r="B13" s="12"/>
      <c r="C13" s="10"/>
      <c r="D13" s="3">
        <f>SUM(D2:D12)</f>
        <v>24.11</v>
      </c>
    </row>
    <row r="14" spans="1:7" ht="15.75" customHeight="1">
      <c r="A14" s="2" t="s">
        <v>313</v>
      </c>
      <c r="B14" s="15">
        <v>0.55000000000000004</v>
      </c>
      <c r="C14" s="6">
        <f>D13*B14</f>
        <v>13.2605</v>
      </c>
      <c r="D14" s="3">
        <f>D13+C14</f>
        <v>37.3705</v>
      </c>
      <c r="E14" s="92"/>
      <c r="F14" s="93"/>
      <c r="G14" s="93"/>
    </row>
    <row r="15" spans="1:7" ht="15.75" customHeight="1">
      <c r="A15" s="2" t="s">
        <v>314</v>
      </c>
      <c r="B15" s="40" t="s">
        <v>330</v>
      </c>
      <c r="C15" s="36" t="s">
        <v>331</v>
      </c>
      <c r="D15" s="10"/>
      <c r="E15" s="7"/>
      <c r="F15" s="7"/>
      <c r="G15" s="7"/>
    </row>
    <row r="16" spans="1:7" ht="15.75" customHeight="1">
      <c r="A16" s="2" t="s">
        <v>315</v>
      </c>
      <c r="B16" s="37"/>
      <c r="C16" s="41"/>
      <c r="D16" s="3">
        <v>60</v>
      </c>
      <c r="E16" s="16"/>
      <c r="F16" s="16"/>
      <c r="G16" s="16"/>
    </row>
    <row r="18" spans="1:7" ht="15.75" customHeight="1">
      <c r="A18" s="89" t="s">
        <v>462</v>
      </c>
      <c r="B18" s="90"/>
      <c r="C18" s="91"/>
      <c r="D18" s="3">
        <v>40</v>
      </c>
    </row>
    <row r="19" spans="1:7" ht="15.75" customHeight="1">
      <c r="A19" s="12" t="str">
        <f>Referencias!B58</f>
        <v>Papelão 16x22</v>
      </c>
      <c r="B19" s="13">
        <v>2</v>
      </c>
      <c r="C19" s="6">
        <f>Referencias!F58</f>
        <v>1.5</v>
      </c>
      <c r="D19" s="6">
        <f t="shared" ref="D19:D29" si="1">B19*C19</f>
        <v>3</v>
      </c>
    </row>
    <row r="20" spans="1:7" ht="15.75" customHeight="1">
      <c r="A20" s="12" t="str">
        <f>Referencias!B53</f>
        <v>Papel fotografico A4</v>
      </c>
      <c r="B20" s="13">
        <v>2</v>
      </c>
      <c r="C20" s="6">
        <f>Referencias!F53</f>
        <v>0.8</v>
      </c>
      <c r="D20" s="6">
        <f t="shared" si="1"/>
        <v>1.6</v>
      </c>
    </row>
    <row r="21" spans="1:7" ht="15.75" customHeight="1">
      <c r="A21" s="12" t="str">
        <f>Referencias!B31</f>
        <v>bopp</v>
      </c>
      <c r="B21" s="13">
        <f>2*0.3</f>
        <v>0.6</v>
      </c>
      <c r="C21" s="6">
        <f>Referencias!F31</f>
        <v>0.45</v>
      </c>
      <c r="D21" s="6">
        <f t="shared" si="1"/>
        <v>0.27</v>
      </c>
    </row>
    <row r="22" spans="1:7" ht="15.75" customHeight="1">
      <c r="A22" s="12" t="str">
        <f>Referencias!B48</f>
        <v>Papel guarda 15,5x21,5 offset adesivo</v>
      </c>
      <c r="B22" s="13">
        <v>2</v>
      </c>
      <c r="C22" s="6">
        <f>Referencias!F48</f>
        <v>0.75</v>
      </c>
      <c r="D22" s="6">
        <f t="shared" si="1"/>
        <v>1.5</v>
      </c>
    </row>
    <row r="23" spans="1:7" ht="15.75" customHeight="1">
      <c r="A23" s="12" t="str">
        <f>Referencias!B45</f>
        <v>miolo 90gr A5</v>
      </c>
      <c r="B23" s="13">
        <v>50</v>
      </c>
      <c r="C23" s="6">
        <f>Referencias!F45</f>
        <v>0.05</v>
      </c>
      <c r="D23" s="6">
        <f t="shared" si="1"/>
        <v>2.5</v>
      </c>
    </row>
    <row r="24" spans="1:7" ht="15.75" customHeight="1">
      <c r="A24" s="12" t="str">
        <f>Referencias!B19</f>
        <v>Espiral 29mm</v>
      </c>
      <c r="B24" s="13">
        <v>1</v>
      </c>
      <c r="C24" s="6">
        <f>Referencias!F19</f>
        <v>1.83</v>
      </c>
      <c r="D24" s="6">
        <f t="shared" si="1"/>
        <v>1.83</v>
      </c>
    </row>
    <row r="25" spans="1:7" ht="15.75" customHeight="1">
      <c r="A25" s="12" t="str">
        <f>Referencias!B22</f>
        <v>Impressao Capa A4</v>
      </c>
      <c r="B25" s="13">
        <v>2</v>
      </c>
      <c r="C25" s="6">
        <f>Referencias!F22</f>
        <v>0.5</v>
      </c>
      <c r="D25" s="6">
        <f t="shared" si="1"/>
        <v>1</v>
      </c>
    </row>
    <row r="26" spans="1:7" ht="15.75" customHeight="1">
      <c r="A26" s="12" t="str">
        <f>Referencias!B29</f>
        <v>Impressao Miolo Frente Verso A5</v>
      </c>
      <c r="B26" s="13">
        <v>50</v>
      </c>
      <c r="C26" s="6">
        <f>Referencias!F29</f>
        <v>0.06</v>
      </c>
      <c r="D26" s="6">
        <f t="shared" si="1"/>
        <v>3</v>
      </c>
    </row>
    <row r="27" spans="1:7" ht="15.75" customHeight="1">
      <c r="A27" s="12" t="str">
        <f>Referencias!B62</f>
        <v>Frete</v>
      </c>
      <c r="B27" s="12"/>
      <c r="C27" s="6">
        <f>Referencias!F62</f>
        <v>0</v>
      </c>
      <c r="D27" s="6">
        <f t="shared" si="1"/>
        <v>0</v>
      </c>
    </row>
    <row r="28" spans="1:7" ht="15.75" customHeight="1">
      <c r="A28" s="12" t="str">
        <f>Referencias!B15</f>
        <v>Desgaste Caderno A5</v>
      </c>
      <c r="B28" s="13">
        <v>1</v>
      </c>
      <c r="C28" s="6">
        <f>Referencias!F15</f>
        <v>2</v>
      </c>
      <c r="D28" s="6">
        <f t="shared" si="1"/>
        <v>2</v>
      </c>
    </row>
    <row r="29" spans="1:7" ht="15.75" customHeight="1">
      <c r="A29" s="12" t="str">
        <f>Referencias!B17</f>
        <v>Embalagem Padrão</v>
      </c>
      <c r="B29" s="13">
        <v>1</v>
      </c>
      <c r="C29" s="6">
        <f>Referencias!F17</f>
        <v>1.5</v>
      </c>
      <c r="D29" s="6">
        <f t="shared" si="1"/>
        <v>1.5</v>
      </c>
    </row>
    <row r="30" spans="1:7" ht="15.75" customHeight="1">
      <c r="A30" s="2" t="s">
        <v>312</v>
      </c>
      <c r="B30" s="12"/>
      <c r="C30" s="10"/>
      <c r="D30" s="3">
        <f>SUM(D19:D29)</f>
        <v>18.2</v>
      </c>
    </row>
    <row r="31" spans="1:7" ht="15.75" customHeight="1">
      <c r="A31" s="2" t="s">
        <v>313</v>
      </c>
      <c r="B31" s="15">
        <v>0.55000000000000004</v>
      </c>
      <c r="C31" s="6">
        <f>D30*B31</f>
        <v>10.01</v>
      </c>
      <c r="D31" s="3">
        <f>D30+C31</f>
        <v>28.21</v>
      </c>
      <c r="E31" s="92"/>
      <c r="F31" s="93"/>
      <c r="G31" s="93"/>
    </row>
    <row r="32" spans="1:7" ht="15.75" customHeight="1">
      <c r="A32" s="2" t="s">
        <v>314</v>
      </c>
      <c r="B32" s="40" t="s">
        <v>330</v>
      </c>
      <c r="C32" s="36" t="s">
        <v>331</v>
      </c>
      <c r="D32" s="10"/>
      <c r="E32" s="7"/>
      <c r="F32" s="7"/>
      <c r="G32" s="7"/>
    </row>
    <row r="33" spans="1:7" ht="15.75" customHeight="1">
      <c r="A33" s="2" t="s">
        <v>315</v>
      </c>
      <c r="B33" s="37"/>
      <c r="C33" s="41"/>
      <c r="D33" s="3">
        <v>50</v>
      </c>
      <c r="E33" s="16"/>
      <c r="F33" s="16"/>
      <c r="G33" s="16"/>
    </row>
    <row r="35" spans="1:7" ht="15.75" customHeight="1">
      <c r="A35" s="89" t="s">
        <v>463</v>
      </c>
      <c r="B35" s="90"/>
      <c r="C35" s="91"/>
      <c r="D35" s="3">
        <v>10</v>
      </c>
    </row>
    <row r="36" spans="1:7" ht="15.75" customHeight="1">
      <c r="A36" s="12" t="str">
        <f>Referencias!B67</f>
        <v>Papelão 10,5x7,5</v>
      </c>
      <c r="B36" s="13">
        <v>2</v>
      </c>
      <c r="C36" s="6">
        <f>Referencias!F67</f>
        <v>0.37</v>
      </c>
      <c r="D36" s="6">
        <f t="shared" ref="D36:D44" si="2">B36*C36</f>
        <v>0.74</v>
      </c>
    </row>
    <row r="37" spans="1:7" ht="15">
      <c r="A37" s="12" t="str">
        <f>Referencias!B53</f>
        <v>Papel fotografico A4</v>
      </c>
      <c r="B37" s="13">
        <v>0.5</v>
      </c>
      <c r="C37" s="6">
        <f>Referencias!F53</f>
        <v>0.8</v>
      </c>
      <c r="D37" s="6">
        <f t="shared" si="2"/>
        <v>0.4</v>
      </c>
    </row>
    <row r="38" spans="1:7" ht="15">
      <c r="A38" s="12" t="str">
        <f>Referencias!B31</f>
        <v>bopp</v>
      </c>
      <c r="B38" s="13">
        <f>2*0.1</f>
        <v>0.2</v>
      </c>
      <c r="C38" s="6">
        <f>Referencias!F31</f>
        <v>0.45</v>
      </c>
      <c r="D38" s="6">
        <f t="shared" si="2"/>
        <v>9.0000000000000011E-2</v>
      </c>
    </row>
    <row r="39" spans="1:7" ht="15">
      <c r="A39" s="12" t="str">
        <f>Referencias!B48</f>
        <v>Papel guarda 15,5x21,5 offset adesivo</v>
      </c>
      <c r="B39" s="13">
        <v>0.5</v>
      </c>
      <c r="C39" s="6">
        <f>Referencias!F48</f>
        <v>0.75</v>
      </c>
      <c r="D39" s="6">
        <f t="shared" si="2"/>
        <v>0.375</v>
      </c>
    </row>
    <row r="40" spans="1:7" ht="15">
      <c r="A40" s="12" t="str">
        <f>Referencias!B68</f>
        <v>miolo 75gr A7</v>
      </c>
      <c r="B40" s="13">
        <v>80</v>
      </c>
      <c r="C40" s="6">
        <f>Referencias!F68</f>
        <v>0.01</v>
      </c>
      <c r="D40" s="6">
        <f t="shared" si="2"/>
        <v>0.8</v>
      </c>
    </row>
    <row r="41" spans="1:7" ht="15">
      <c r="A41" s="12" t="str">
        <f>Referencias!B23</f>
        <v>Impressao Capa A5</v>
      </c>
      <c r="B41" s="13">
        <v>1</v>
      </c>
      <c r="C41" s="6">
        <f>Referencias!F23</f>
        <v>0.25</v>
      </c>
      <c r="D41" s="6">
        <f t="shared" si="2"/>
        <v>0.25</v>
      </c>
    </row>
    <row r="42" spans="1:7" ht="15">
      <c r="A42" s="12" t="str">
        <f>Referencias!B62</f>
        <v>Frete</v>
      </c>
      <c r="B42" s="12"/>
      <c r="C42" s="6">
        <f>Referencias!F62</f>
        <v>0</v>
      </c>
      <c r="D42" s="6">
        <f t="shared" si="2"/>
        <v>0</v>
      </c>
    </row>
    <row r="43" spans="1:7" ht="15">
      <c r="A43" s="12" t="str">
        <f>Referencias!B14</f>
        <v>Desgaste Bloquinho/Outros</v>
      </c>
      <c r="B43" s="13">
        <v>1</v>
      </c>
      <c r="C43" s="6">
        <f>Referencias!F14</f>
        <v>0.5</v>
      </c>
      <c r="D43" s="6">
        <f t="shared" si="2"/>
        <v>0.5</v>
      </c>
    </row>
    <row r="44" spans="1:7" ht="15">
      <c r="A44" s="12" t="str">
        <f>Referencias!B17</f>
        <v>Embalagem Padrão</v>
      </c>
      <c r="B44" s="13">
        <v>1</v>
      </c>
      <c r="C44" s="6">
        <f>Referencias!F17</f>
        <v>1.5</v>
      </c>
      <c r="D44" s="6">
        <f t="shared" si="2"/>
        <v>1.5</v>
      </c>
    </row>
    <row r="45" spans="1:7" ht="15">
      <c r="A45" s="2" t="s">
        <v>312</v>
      </c>
      <c r="B45" s="12"/>
      <c r="C45" s="6"/>
      <c r="D45" s="3">
        <f>SUM(D36:D44)</f>
        <v>4.6550000000000002</v>
      </c>
    </row>
    <row r="46" spans="1:7" ht="15">
      <c r="A46" s="2" t="s">
        <v>313</v>
      </c>
      <c r="B46" s="15">
        <v>0.55000000000000004</v>
      </c>
      <c r="C46" s="6">
        <f>D45*B46</f>
        <v>2.5602500000000004</v>
      </c>
      <c r="D46" s="3">
        <f>D45+C46</f>
        <v>7.2152500000000011</v>
      </c>
      <c r="E46" s="92"/>
      <c r="F46" s="93"/>
      <c r="G46" s="93"/>
    </row>
    <row r="47" spans="1:7" ht="15">
      <c r="A47" s="2" t="s">
        <v>314</v>
      </c>
      <c r="B47" s="40" t="s">
        <v>330</v>
      </c>
      <c r="C47" s="36"/>
      <c r="D47" s="10"/>
      <c r="E47" s="7"/>
      <c r="F47" s="7"/>
      <c r="G47" s="7"/>
    </row>
    <row r="48" spans="1:7" ht="15">
      <c r="A48" s="2" t="s">
        <v>315</v>
      </c>
      <c r="B48" s="37"/>
      <c r="C48" s="36"/>
      <c r="D48" s="3">
        <v>15</v>
      </c>
      <c r="E48" s="16"/>
      <c r="F48" s="16"/>
      <c r="G48" s="16"/>
    </row>
    <row r="50" spans="1:7" ht="15">
      <c r="A50" s="89" t="s">
        <v>10</v>
      </c>
      <c r="B50" s="90"/>
      <c r="C50" s="91"/>
      <c r="D50" s="3">
        <v>7</v>
      </c>
    </row>
    <row r="51" spans="1:7" ht="15">
      <c r="A51" s="12" t="str">
        <f>Referencias!B3</f>
        <v>Bolinha 6,5</v>
      </c>
      <c r="B51" s="13">
        <v>1</v>
      </c>
      <c r="C51" s="6">
        <f>Referencias!F3</f>
        <v>1.04</v>
      </c>
      <c r="D51" s="6">
        <f t="shared" ref="D51:D58" si="3">B51*C51</f>
        <v>1.04</v>
      </c>
    </row>
    <row r="52" spans="1:7" ht="15">
      <c r="A52" s="12" t="str">
        <f>Referencias!B53</f>
        <v>Papel fotografico A4</v>
      </c>
      <c r="B52" s="13">
        <v>0.17</v>
      </c>
      <c r="C52" s="6">
        <f>Referencias!F53</f>
        <v>0.8</v>
      </c>
      <c r="D52" s="6">
        <f t="shared" si="3"/>
        <v>0.13600000000000001</v>
      </c>
    </row>
    <row r="53" spans="1:7" ht="15">
      <c r="A53" s="12" t="str">
        <f>Referencias!B8</f>
        <v>Fita 7mm</v>
      </c>
      <c r="B53" s="13">
        <v>0.3</v>
      </c>
      <c r="C53" s="6">
        <f>Referencias!F8</f>
        <v>0.1</v>
      </c>
      <c r="D53" s="6">
        <f t="shared" si="3"/>
        <v>0.03</v>
      </c>
    </row>
    <row r="54" spans="1:7" ht="15">
      <c r="A54" s="12" t="str">
        <f>Referencias!B4</f>
        <v>Cordão Dourado</v>
      </c>
      <c r="B54" s="13">
        <v>0.25</v>
      </c>
      <c r="C54" s="6">
        <f>Referencias!F4</f>
        <v>0.15</v>
      </c>
      <c r="D54" s="6">
        <f t="shared" si="3"/>
        <v>3.7499999999999999E-2</v>
      </c>
    </row>
    <row r="55" spans="1:7" ht="15">
      <c r="A55" s="12" t="str">
        <f>Referencias!B22</f>
        <v>Impressao Capa A4</v>
      </c>
      <c r="B55" s="13">
        <v>0.17</v>
      </c>
      <c r="C55" s="6">
        <f>Referencias!F22</f>
        <v>0.5</v>
      </c>
      <c r="D55" s="6">
        <f t="shared" si="3"/>
        <v>8.5000000000000006E-2</v>
      </c>
    </row>
    <row r="56" spans="1:7" ht="15">
      <c r="A56" s="12" t="str">
        <f>Referencias!B62</f>
        <v>Frete</v>
      </c>
      <c r="B56" s="12"/>
      <c r="C56" s="6">
        <f>Referencias!F62</f>
        <v>0</v>
      </c>
      <c r="D56" s="6">
        <f t="shared" si="3"/>
        <v>0</v>
      </c>
    </row>
    <row r="57" spans="1:7" ht="15">
      <c r="A57" s="12" t="str">
        <f>Referencias!B14</f>
        <v>Desgaste Bloquinho/Outros</v>
      </c>
      <c r="B57" s="13">
        <v>1</v>
      </c>
      <c r="C57" s="6">
        <f>Referencias!F14</f>
        <v>0.5</v>
      </c>
      <c r="D57" s="6">
        <f t="shared" si="3"/>
        <v>0.5</v>
      </c>
    </row>
    <row r="58" spans="1:7" ht="15">
      <c r="A58" s="12" t="str">
        <f>Referencias!B17</f>
        <v>Embalagem Padrão</v>
      </c>
      <c r="B58" s="13">
        <v>1</v>
      </c>
      <c r="C58" s="6">
        <f>Referencias!F17</f>
        <v>1.5</v>
      </c>
      <c r="D58" s="6">
        <f t="shared" si="3"/>
        <v>1.5</v>
      </c>
    </row>
    <row r="59" spans="1:7" ht="15">
      <c r="A59" s="2" t="s">
        <v>312</v>
      </c>
      <c r="B59" s="12"/>
      <c r="C59" s="6"/>
      <c r="D59" s="3">
        <f>SUM(D51:D58)</f>
        <v>3.3285</v>
      </c>
    </row>
    <row r="60" spans="1:7" ht="15">
      <c r="A60" s="2" t="s">
        <v>313</v>
      </c>
      <c r="B60" s="15">
        <v>0.55000000000000004</v>
      </c>
      <c r="C60" s="6">
        <f>D59*B60</f>
        <v>1.8306750000000001</v>
      </c>
      <c r="D60" s="3">
        <f>D59+C60</f>
        <v>5.1591750000000003</v>
      </c>
      <c r="E60" s="92"/>
      <c r="F60" s="93"/>
      <c r="G60" s="93"/>
    </row>
    <row r="61" spans="1:7" ht="15">
      <c r="A61" s="2" t="s">
        <v>314</v>
      </c>
      <c r="B61" s="40" t="s">
        <v>330</v>
      </c>
      <c r="C61" s="36"/>
      <c r="D61" s="10"/>
      <c r="E61" s="7"/>
      <c r="F61" s="7"/>
      <c r="G61" s="7"/>
    </row>
    <row r="62" spans="1:7" ht="15">
      <c r="A62" s="2" t="s">
        <v>315</v>
      </c>
      <c r="B62" s="37">
        <v>6</v>
      </c>
      <c r="C62" s="41">
        <v>7</v>
      </c>
      <c r="D62" s="3">
        <v>7</v>
      </c>
      <c r="E62" s="16"/>
      <c r="F62" s="16"/>
      <c r="G62" s="16"/>
    </row>
    <row r="64" spans="1:7" ht="15">
      <c r="A64" s="89" t="s">
        <v>464</v>
      </c>
      <c r="B64" s="90"/>
      <c r="C64" s="91"/>
      <c r="D64" s="3">
        <v>50</v>
      </c>
    </row>
    <row r="65" spans="1:7" ht="15">
      <c r="A65" s="12" t="str">
        <f>Referencias!B2</f>
        <v>Barroco MultiColor 200g</v>
      </c>
      <c r="B65" s="13">
        <v>216</v>
      </c>
      <c r="C65" s="6">
        <f>Referencias!F2</f>
        <v>0.09</v>
      </c>
      <c r="D65" s="6">
        <f t="shared" ref="D65:D68" si="4">B65*C65</f>
        <v>19.439999999999998</v>
      </c>
    </row>
    <row r="66" spans="1:7" ht="15">
      <c r="A66" s="12" t="str">
        <f>Referencias!B62</f>
        <v>Frete</v>
      </c>
      <c r="B66" s="12"/>
      <c r="C66" s="6">
        <f>Referencias!F62</f>
        <v>0</v>
      </c>
      <c r="D66" s="6">
        <f t="shared" si="4"/>
        <v>0</v>
      </c>
    </row>
    <row r="67" spans="1:7" ht="15">
      <c r="A67" s="12" t="str">
        <f>Referencias!B14</f>
        <v>Desgaste Bloquinho/Outros</v>
      </c>
      <c r="B67" s="13">
        <v>1</v>
      </c>
      <c r="C67" s="6">
        <f>Referencias!F14</f>
        <v>0.5</v>
      </c>
      <c r="D67" s="6">
        <f t="shared" si="4"/>
        <v>0.5</v>
      </c>
    </row>
    <row r="68" spans="1:7" ht="15">
      <c r="A68" s="12" t="str">
        <f>Referencias!B17</f>
        <v>Embalagem Padrão</v>
      </c>
      <c r="B68" s="13">
        <v>1</v>
      </c>
      <c r="C68" s="6">
        <f>Referencias!F17</f>
        <v>1.5</v>
      </c>
      <c r="D68" s="6">
        <f t="shared" si="4"/>
        <v>1.5</v>
      </c>
    </row>
    <row r="69" spans="1:7" ht="15">
      <c r="A69" s="2" t="s">
        <v>312</v>
      </c>
      <c r="B69" s="12"/>
      <c r="C69" s="6"/>
      <c r="D69" s="3">
        <f>SUM(D65:D68)</f>
        <v>21.439999999999998</v>
      </c>
      <c r="E69" s="39"/>
    </row>
    <row r="70" spans="1:7" ht="15">
      <c r="A70" s="2" t="s">
        <v>313</v>
      </c>
      <c r="B70" s="15">
        <v>0.55000000000000004</v>
      </c>
      <c r="C70" s="6">
        <f>D69*B70</f>
        <v>11.792</v>
      </c>
      <c r="D70" s="3">
        <f>D69+C70</f>
        <v>33.231999999999999</v>
      </c>
      <c r="E70" s="92"/>
      <c r="F70" s="93"/>
      <c r="G70" s="93"/>
    </row>
    <row r="71" spans="1:7" ht="15">
      <c r="A71" s="2" t="s">
        <v>314</v>
      </c>
      <c r="B71" s="12"/>
      <c r="C71" s="10"/>
      <c r="D71" s="10"/>
      <c r="E71" s="7"/>
      <c r="F71" s="7"/>
      <c r="G71" s="7"/>
    </row>
    <row r="72" spans="1:7" ht="15">
      <c r="A72" s="2" t="s">
        <v>315</v>
      </c>
      <c r="B72" s="79"/>
      <c r="C72" s="10"/>
      <c r="D72" s="3">
        <v>60</v>
      </c>
      <c r="E72" s="16"/>
      <c r="F72" s="16"/>
      <c r="G72" s="16"/>
    </row>
    <row r="74" spans="1:7" ht="15">
      <c r="A74" s="89" t="s">
        <v>465</v>
      </c>
      <c r="B74" s="90"/>
      <c r="C74" s="91"/>
      <c r="D74" s="3">
        <v>20</v>
      </c>
    </row>
    <row r="75" spans="1:7" ht="15">
      <c r="A75" s="12" t="str">
        <f>Referencias!B7</f>
        <v>Fio Clea 1000 160g</v>
      </c>
      <c r="B75" s="13">
        <v>20</v>
      </c>
      <c r="C75" s="6">
        <f>Referencias!F7</f>
        <v>0.11</v>
      </c>
      <c r="D75" s="6">
        <f t="shared" ref="D75:D79" si="5">B75*C75</f>
        <v>2.2000000000000002</v>
      </c>
    </row>
    <row r="76" spans="1:7" ht="15">
      <c r="A76" s="12" t="str">
        <f>Referencias!B11</f>
        <v>Pano de Prato Pé de Galinha</v>
      </c>
      <c r="B76" s="12">
        <v>2</v>
      </c>
      <c r="C76" s="6">
        <f>Referencias!F11</f>
        <v>4</v>
      </c>
      <c r="D76" s="6">
        <f t="shared" si="5"/>
        <v>8</v>
      </c>
    </row>
    <row r="77" spans="1:7" ht="15">
      <c r="A77" s="12" t="str">
        <f>Referencias!B62</f>
        <v>Frete</v>
      </c>
      <c r="B77" s="12"/>
      <c r="C77" s="6">
        <f>Referencias!F62</f>
        <v>0</v>
      </c>
      <c r="D77" s="6">
        <f t="shared" si="5"/>
        <v>0</v>
      </c>
    </row>
    <row r="78" spans="1:7" ht="15">
      <c r="A78" s="12" t="str">
        <f>Referencias!B14</f>
        <v>Desgaste Bloquinho/Outros</v>
      </c>
      <c r="B78" s="13">
        <v>1</v>
      </c>
      <c r="C78" s="6">
        <f>Referencias!F14</f>
        <v>0.5</v>
      </c>
      <c r="D78" s="6">
        <f t="shared" si="5"/>
        <v>0.5</v>
      </c>
    </row>
    <row r="79" spans="1:7" ht="15">
      <c r="A79" s="12" t="str">
        <f>Referencias!B17</f>
        <v>Embalagem Padrão</v>
      </c>
      <c r="B79" s="13">
        <v>1</v>
      </c>
      <c r="C79" s="6">
        <f>Referencias!F17</f>
        <v>1.5</v>
      </c>
      <c r="D79" s="6">
        <f t="shared" si="5"/>
        <v>1.5</v>
      </c>
    </row>
    <row r="80" spans="1:7" ht="15">
      <c r="A80" s="2" t="s">
        <v>312</v>
      </c>
      <c r="B80" s="12"/>
      <c r="C80" s="6"/>
      <c r="D80" s="3">
        <f>SUM(D75:D79)</f>
        <v>12.2</v>
      </c>
    </row>
    <row r="81" spans="1:7" ht="15">
      <c r="A81" s="2" t="s">
        <v>313</v>
      </c>
      <c r="B81" s="15">
        <v>0.55000000000000004</v>
      </c>
      <c r="C81" s="6">
        <f>D80*B81</f>
        <v>6.71</v>
      </c>
      <c r="D81" s="3">
        <f>D80+C81</f>
        <v>18.91</v>
      </c>
      <c r="E81" s="92"/>
      <c r="F81" s="93"/>
      <c r="G81" s="93"/>
    </row>
    <row r="82" spans="1:7" ht="15">
      <c r="A82" s="2" t="s">
        <v>314</v>
      </c>
      <c r="B82" s="40" t="s">
        <v>386</v>
      </c>
      <c r="C82" s="10"/>
      <c r="D82" s="10"/>
      <c r="E82" s="7"/>
      <c r="F82" s="7"/>
      <c r="G82" s="7"/>
    </row>
    <row r="83" spans="1:7" ht="15">
      <c r="A83" s="2" t="s">
        <v>315</v>
      </c>
      <c r="B83" s="37">
        <v>24</v>
      </c>
      <c r="C83" s="10"/>
      <c r="D83" s="3">
        <v>25</v>
      </c>
      <c r="E83" s="16"/>
      <c r="F83" s="16"/>
      <c r="G83" s="16"/>
    </row>
  </sheetData>
  <mergeCells count="12">
    <mergeCell ref="E60:G60"/>
    <mergeCell ref="A64:C64"/>
    <mergeCell ref="E70:G70"/>
    <mergeCell ref="A74:C74"/>
    <mergeCell ref="E81:G81"/>
    <mergeCell ref="E46:G46"/>
    <mergeCell ref="A50:C50"/>
    <mergeCell ref="A1:C1"/>
    <mergeCell ref="E14:G14"/>
    <mergeCell ref="A18:C18"/>
    <mergeCell ref="E31:G31"/>
    <mergeCell ref="A35:C3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Referencias</vt:lpstr>
      <vt:lpstr>Mulher25</vt:lpstr>
      <vt:lpstr>VoltaAulas25</vt:lpstr>
      <vt:lpstr>Coleção25</vt:lpstr>
      <vt:lpstr>Dininha</vt:lpstr>
      <vt:lpstr>Kraft</vt:lpstr>
      <vt:lpstr>Couro</vt:lpstr>
      <vt:lpstr>Crochê</vt:lpstr>
      <vt:lpstr>Bebê</vt:lpstr>
      <vt:lpstr>Casamento</vt:lpstr>
      <vt:lpstr>Trevo Saúde</vt:lpstr>
      <vt:lpstr>Fofurinhas</vt:lpstr>
      <vt:lpstr>Costura Criativa</vt:lpstr>
      <vt:lpstr>Sacolas em Papel</vt:lpstr>
      <vt:lpstr>Sacolas 60</vt:lpstr>
      <vt:lpstr>Sacolas 40</vt:lpstr>
      <vt:lpstr>Arraiá24</vt:lpstr>
      <vt:lpstr>Mães24</vt:lpstr>
      <vt:lpstr>Pascoa24</vt:lpstr>
      <vt:lpstr>Mulher24</vt:lpstr>
      <vt:lpstr>VoltaAulas24</vt:lpstr>
      <vt:lpstr>Coleção24</vt:lpstr>
      <vt:lpstr>Pais23</vt:lpstr>
      <vt:lpstr>Namorados23</vt:lpstr>
      <vt:lpstr>Mães23</vt:lpstr>
      <vt:lpstr>Pascoa23</vt:lpstr>
      <vt:lpstr>Mulher23</vt:lpstr>
      <vt:lpstr>VoltaAulas23</vt:lpstr>
      <vt:lpstr>Coleção23</vt:lpstr>
      <vt:lpstr>Natal22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J. Marzola</cp:lastModifiedBy>
  <dcterms:modified xsi:type="dcterms:W3CDTF">2025-06-20T20:44:37Z</dcterms:modified>
</cp:coreProperties>
</file>